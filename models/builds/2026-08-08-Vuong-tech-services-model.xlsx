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uong\OneDrive\Documents\GitHub\Timmy Vuong\models\builds\"/>
    </mc:Choice>
  </mc:AlternateContent>
  <xr:revisionPtr revIDLastSave="0" documentId="13_ncr:1_{3CE74DC1-755A-4EEB-AC75-D7C1CD1AE216}" xr6:coauthVersionLast="47" xr6:coauthVersionMax="47" xr10:uidLastSave="{00000000-0000-0000-0000-000000000000}"/>
  <bookViews>
    <workbookView xWindow="2895" yWindow="375" windowWidth="23820" windowHeight="19890" xr2:uid="{00000000-000D-0000-FFFF-FFFF00000000}"/>
  </bookViews>
  <sheets>
    <sheet name="Cover" sheetId="1" r:id="rId1"/>
    <sheet name="Legend &amp; Key" sheetId="2" r:id="rId2"/>
    <sheet name="Inputs" sheetId="3" r:id="rId3"/>
    <sheet name="Forward Hedge" sheetId="4" r:id="rId4"/>
    <sheet name="Money Market" sheetId="5" r:id="rId5"/>
    <sheet name="Option Hedge" sheetId="6" r:id="rId6"/>
    <sheet name="Sensitivity" sheetId="7" r:id="rId7"/>
    <sheet name="Checks" sheetId="8" r:id="rId8"/>
    <sheet name="Notes &amp; Assumptions" sheetId="9" r:id="rId9"/>
  </sheets>
  <definedNames>
    <definedName name="F0_in">Inputs!$D$8</definedName>
    <definedName name="FC_AMT">Inputs!$D$6</definedName>
    <definedName name="K_CALL">Inputs!$D$12</definedName>
    <definedName name="K_PUT">Inputs!$D$11</definedName>
    <definedName name="PREM_CALL">Inputs!$D$14</definedName>
    <definedName name="PREM_PUT">Inputs!$D$13</definedName>
    <definedName name="R_FC">Inputs!$D$10</definedName>
    <definedName name="R_USD">Inputs!$D$9</definedName>
    <definedName name="S0_in">Inputs!$D$7</definedName>
    <definedName name="T_DAYS">Inputs!$D$15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8" l="1"/>
  <c r="C13" i="8"/>
  <c r="E12" i="8"/>
  <c r="C12" i="8"/>
  <c r="E11" i="8"/>
  <c r="C11" i="8"/>
  <c r="C9" i="8"/>
  <c r="E9" i="8" s="1"/>
  <c r="E8" i="8"/>
  <c r="C8" i="8"/>
  <c r="F7" i="8"/>
  <c r="E7" i="8"/>
  <c r="C7" i="8"/>
  <c r="B7" i="8"/>
  <c r="D7" i="8" s="1"/>
  <c r="E6" i="8"/>
  <c r="C6" i="8"/>
  <c r="B6" i="8"/>
  <c r="D6" i="8" s="1"/>
  <c r="F6" i="8" s="1"/>
  <c r="D16" i="7"/>
  <c r="A6" i="7"/>
  <c r="A7" i="7" s="1"/>
  <c r="B18" i="6"/>
  <c r="B11" i="6"/>
  <c r="B5" i="6"/>
  <c r="B17" i="6" s="1"/>
  <c r="C12" i="5"/>
  <c r="C11" i="5"/>
  <c r="B9" i="8" s="1"/>
  <c r="D9" i="8" s="1"/>
  <c r="C7" i="5"/>
  <c r="C8" i="5" s="1"/>
  <c r="C9" i="5" s="1"/>
  <c r="C6" i="5"/>
  <c r="B10" i="4"/>
  <c r="D14" i="7" s="1"/>
  <c r="B8" i="4"/>
  <c r="B7" i="4"/>
  <c r="B6" i="4"/>
  <c r="C22" i="2"/>
  <c r="C21" i="2"/>
  <c r="C20" i="2"/>
  <c r="C19" i="2"/>
  <c r="C18" i="2"/>
  <c r="C17" i="2"/>
  <c r="C16" i="2"/>
  <c r="C15" i="2"/>
  <c r="C14" i="2"/>
  <c r="C13" i="2"/>
  <c r="D18" i="1"/>
  <c r="D17" i="1"/>
  <c r="D16" i="1"/>
  <c r="D15" i="1"/>
  <c r="B15" i="1"/>
  <c r="C15" i="1" s="1"/>
  <c r="D14" i="1"/>
  <c r="B14" i="1"/>
  <c r="C14" i="1" s="1"/>
  <c r="B19" i="6" l="1"/>
  <c r="B18" i="1" s="1"/>
  <c r="E14" i="1"/>
  <c r="D7" i="7"/>
  <c r="D10" i="7"/>
  <c r="D13" i="7"/>
  <c r="C10" i="8"/>
  <c r="E10" i="8" s="1"/>
  <c r="E18" i="1"/>
  <c r="C18" i="1"/>
  <c r="E14" i="7"/>
  <c r="E11" i="7"/>
  <c r="E8" i="7"/>
  <c r="E6" i="7"/>
  <c r="B10" i="8"/>
  <c r="D10" i="8" s="1"/>
  <c r="F10" i="8" s="1"/>
  <c r="E13" i="7"/>
  <c r="E7" i="7"/>
  <c r="E12" i="7"/>
  <c r="E15" i="7"/>
  <c r="E9" i="7"/>
  <c r="C14" i="5"/>
  <c r="B16" i="1"/>
  <c r="E10" i="7"/>
  <c r="E16" i="7"/>
  <c r="A8" i="7"/>
  <c r="B7" i="7"/>
  <c r="H7" i="7"/>
  <c r="F9" i="8"/>
  <c r="B6" i="7"/>
  <c r="E15" i="1"/>
  <c r="B9" i="6"/>
  <c r="D6" i="7"/>
  <c r="D9" i="7"/>
  <c r="D12" i="7"/>
  <c r="D15" i="7"/>
  <c r="B8" i="8"/>
  <c r="D8" i="8" s="1"/>
  <c r="F8" i="8" s="1"/>
  <c r="B20" i="6"/>
  <c r="C13" i="5"/>
  <c r="B12" i="6"/>
  <c r="B10" i="6"/>
  <c r="B11" i="4"/>
  <c r="H6" i="7"/>
  <c r="D8" i="7"/>
  <c r="D11" i="7"/>
  <c r="B13" i="6" l="1"/>
  <c r="B17" i="1"/>
  <c r="C7" i="7"/>
  <c r="G7" i="7"/>
  <c r="F7" i="7"/>
  <c r="H8" i="7"/>
  <c r="B8" i="7"/>
  <c r="A9" i="7"/>
  <c r="G6" i="7"/>
  <c r="F6" i="7"/>
  <c r="C6" i="7"/>
  <c r="E16" i="1"/>
  <c r="C16" i="1"/>
  <c r="A10" i="7" l="1"/>
  <c r="H9" i="7"/>
  <c r="B9" i="7"/>
  <c r="F8" i="7"/>
  <c r="C8" i="7"/>
  <c r="G8" i="7"/>
  <c r="C17" i="1"/>
  <c r="E17" i="1"/>
  <c r="G9" i="7" l="1"/>
  <c r="F9" i="7"/>
  <c r="C9" i="7"/>
  <c r="A11" i="7"/>
  <c r="H10" i="7"/>
  <c r="B10" i="7"/>
  <c r="F10" i="7" l="1"/>
  <c r="C10" i="7"/>
  <c r="G10" i="7"/>
  <c r="B11" i="7"/>
  <c r="A12" i="7"/>
  <c r="H11" i="7"/>
  <c r="A13" i="7" l="1"/>
  <c r="H12" i="7"/>
  <c r="B12" i="7"/>
  <c r="G11" i="7"/>
  <c r="C11" i="7"/>
  <c r="F11" i="7"/>
  <c r="F12" i="7" l="1"/>
  <c r="G12" i="7"/>
  <c r="C12" i="7"/>
  <c r="A14" i="7"/>
  <c r="H13" i="7"/>
  <c r="B13" i="7"/>
  <c r="C13" i="7" l="1"/>
  <c r="G13" i="7"/>
  <c r="F13" i="7"/>
  <c r="B14" i="7"/>
  <c r="A15" i="7"/>
  <c r="H14" i="7"/>
  <c r="A16" i="7" l="1"/>
  <c r="H15" i="7"/>
  <c r="B15" i="7"/>
  <c r="F14" i="7"/>
  <c r="C14" i="7"/>
  <c r="G14" i="7"/>
  <c r="F15" i="7" l="1"/>
  <c r="C15" i="7"/>
  <c r="G15" i="7"/>
  <c r="H16" i="7"/>
  <c r="B16" i="7"/>
  <c r="C16" i="7" l="1"/>
  <c r="G16" i="7"/>
  <c r="F16" i="7"/>
  <c r="B11" i="8" s="1"/>
  <c r="B13" i="8"/>
  <c r="D13" i="8" s="1"/>
  <c r="F13" i="8" s="1"/>
  <c r="B12" i="8"/>
  <c r="D12" i="8" s="1"/>
  <c r="F12" i="8" s="1"/>
  <c r="D11" i="8" l="1"/>
  <c r="F11" i="8"/>
  <c r="B3" i="8" s="1"/>
  <c r="E4" i="1" s="1"/>
</calcChain>
</file>

<file path=xl/sharedStrings.xml><?xml version="1.0" encoding="utf-8"?>
<sst xmlns="http://schemas.openxmlformats.org/spreadsheetml/2006/main" count="333" uniqueCount="252">
  <si>
    <t>U.S. Tech Services Firm — FX Transaction Hedge Model</t>
  </si>
  <si>
    <t>Author</t>
  </si>
  <si>
    <t>Timmy Vuong</t>
  </si>
  <si>
    <t>MODEL STATUS</t>
  </si>
  <si>
    <t>Data Provenance</t>
  </si>
  <si>
    <t>Course</t>
  </si>
  <si>
    <t>FIN 321 International Finance &amp; Securities</t>
  </si>
  <si>
    <t>Scenario</t>
  </si>
  <si>
    <t>Assigned</t>
  </si>
  <si>
    <t>Scenario 3 course file</t>
  </si>
  <si>
    <t>Scenario 3 — U.S. Tech Services Firm</t>
  </si>
  <si>
    <t>Stage 2 spec</t>
  </si>
  <si>
    <t>Committed</t>
  </si>
  <si>
    <t>GitHub specification URL in Notes &amp; Assumptions</t>
  </si>
  <si>
    <t>Version</t>
  </si>
  <si>
    <t>1.0 — Stage 3 Build</t>
  </si>
  <si>
    <t>Market data</t>
  </si>
  <si>
    <t>Indicative</t>
  </si>
  <si>
    <t>Replace with sourced live values in Stage 4</t>
  </si>
  <si>
    <t>Build date</t>
  </si>
  <si>
    <t>2026-08-08</t>
  </si>
  <si>
    <t>Model date</t>
  </si>
  <si>
    <t>Pacific/Honolulu</t>
  </si>
  <si>
    <t>Functional currency</t>
  </si>
  <si>
    <t>USD</t>
  </si>
  <si>
    <t>Exposure</t>
  </si>
  <si>
    <t>EUR 12,500,000 receivable in 365 days</t>
  </si>
  <si>
    <t>Base-Case Strategy Comparison</t>
  </si>
  <si>
    <t>Strategy</t>
  </si>
  <si>
    <t>USD Proceeds</t>
  </si>
  <si>
    <t>Effective Rate</t>
  </si>
  <si>
    <t>Explicit Cost</t>
  </si>
  <si>
    <t>Difference vs No Hedge</t>
  </si>
  <si>
    <t>Interpretation</t>
  </si>
  <si>
    <t>No Hedge</t>
  </si>
  <si>
    <t>Fully exposed to settlement EUR/USD.</t>
  </si>
  <si>
    <t>Forward</t>
  </si>
  <si>
    <t>Locks the assigned forward rate.</t>
  </si>
  <si>
    <t>Money Market</t>
  </si>
  <si>
    <t>Locks proceeds through borrow-convert-invest steps.</t>
  </si>
  <si>
    <t>EUR Put</t>
  </si>
  <si>
    <t>Provides a downside floor while preserving upside.</t>
  </si>
  <si>
    <t>EUR Call (Reference)</t>
  </si>
  <si>
    <t>Reference payoff; does not protect a EUR receivable from euro weakness.</t>
  </si>
  <si>
    <t>PRELIMINARY STAGE 3 MODEL — The workbook is fully formula-driven, but S0_in, R_USD, R_FC, K_PUT, and K_CALL are indicative assumptions. Replace and source them in Stage 4 before making a hedge recommendation.</t>
  </si>
  <si>
    <t>Legend &amp; Key</t>
  </si>
  <si>
    <t>Workbook Color Convention</t>
  </si>
  <si>
    <t>Color</t>
  </si>
  <si>
    <t>Meaning</t>
  </si>
  <si>
    <t>Applied To</t>
  </si>
  <si>
    <t>Yellow</t>
  </si>
  <si>
    <t>Inputs</t>
  </si>
  <si>
    <t>Editable named input cells</t>
  </si>
  <si>
    <t>Blue</t>
  </si>
  <si>
    <t>Assumptions</t>
  </si>
  <si>
    <t>Model conventions and control assumptions</t>
  </si>
  <si>
    <t>Green</t>
  </si>
  <si>
    <t>Formulas</t>
  </si>
  <si>
    <t>Intermediate formula-driven calculations</t>
  </si>
  <si>
    <t>Gray</t>
  </si>
  <si>
    <t>Outputs</t>
  </si>
  <si>
    <t>Decision outputs and status cells</t>
  </si>
  <si>
    <t>Required Named Ranges</t>
  </si>
  <si>
    <t>Name</t>
  </si>
  <si>
    <t>Current Value</t>
  </si>
  <si>
    <t>Attached Cell</t>
  </si>
  <si>
    <t>FC_AMT</t>
  </si>
  <si>
    <t>Foreign-currency amount</t>
  </si>
  <si>
    <t>Inputs!D6</t>
  </si>
  <si>
    <t>S0_in</t>
  </si>
  <si>
    <t>Spot EUR/USD</t>
  </si>
  <si>
    <t>Inputs!D7</t>
  </si>
  <si>
    <t>F0_in</t>
  </si>
  <si>
    <t>Forward EUR/USD</t>
  </si>
  <si>
    <t>Inputs!D8</t>
  </si>
  <si>
    <t>R_USD</t>
  </si>
  <si>
    <t>USD annual rate</t>
  </si>
  <si>
    <t>Inputs!D9</t>
  </si>
  <si>
    <t>R_FC</t>
  </si>
  <si>
    <t>EUR annual rate</t>
  </si>
  <si>
    <t>Inputs!D10</t>
  </si>
  <si>
    <t>K_PUT</t>
  </si>
  <si>
    <t>EUR put strike</t>
  </si>
  <si>
    <t>Inputs!D11</t>
  </si>
  <si>
    <t>K_CALL</t>
  </si>
  <si>
    <t>EUR call strike</t>
  </si>
  <si>
    <t>Inputs!D12</t>
  </si>
  <si>
    <t>PREM_PUT</t>
  </si>
  <si>
    <t>Put premium per EUR</t>
  </si>
  <si>
    <t>Inputs!D13</t>
  </si>
  <si>
    <t>PREM_CALL</t>
  </si>
  <si>
    <t>Call premium per EUR</t>
  </si>
  <si>
    <t>Inputs!D14</t>
  </si>
  <si>
    <t>T_DAYS</t>
  </si>
  <si>
    <t>Settlement days</t>
  </si>
  <si>
    <t>Inputs!D15</t>
  </si>
  <si>
    <t>FX Hedging Model — Inputs</t>
  </si>
  <si>
    <t>INDICATIVE STAGE 3 INPUTS — replace all market assumptions with live, sourced data in Stage 4</t>
  </si>
  <si>
    <t>Named Range</t>
  </si>
  <si>
    <t>Description</t>
  </si>
  <si>
    <t>Unit</t>
  </si>
  <si>
    <t>Input Value</t>
  </si>
  <si>
    <t>Status</t>
  </si>
  <si>
    <t>Source / Rationale</t>
  </si>
  <si>
    <t>Foreign-currency receivable</t>
  </si>
  <si>
    <t>EUR</t>
  </si>
  <si>
    <t>Assigned scenario</t>
  </si>
  <si>
    <t>Scenario 3 contract amount</t>
  </si>
  <si>
    <t>Current EUR/USD spot rate</t>
  </si>
  <si>
    <t>USD per EUR</t>
  </si>
  <si>
    <t>Stage 3 modeling assumption; replace in Stage 4</t>
  </si>
  <si>
    <t>One-year EUR/USD forward rate</t>
  </si>
  <si>
    <t>Assigned / indicative</t>
  </si>
  <si>
    <t>Scenario 3 forward quote; replace with live Stage 4 quote</t>
  </si>
  <si>
    <t>Annual USD interest rate</t>
  </si>
  <si>
    <t>Decimal annual rate</t>
  </si>
  <si>
    <t>Stage 3 modeling assumption</t>
  </si>
  <si>
    <t>Annual EUR interest rate</t>
  </si>
  <si>
    <t>Indicative / calibrated</t>
  </si>
  <si>
    <t>Calibrated to S0_in, R_USD, and F0_in for parity demonstration</t>
  </si>
  <si>
    <t>EUR put-option strike rate</t>
  </si>
  <si>
    <t>Near-the-money illustrative strike; replace in Stage 4</t>
  </si>
  <si>
    <t>EUR call-option strike rate</t>
  </si>
  <si>
    <t>Illustrative call strike; replace in Stage 4</t>
  </si>
  <si>
    <t>EUR put-option premium</t>
  </si>
  <si>
    <t>Scenario 3 option premium</t>
  </si>
  <si>
    <t>EUR call-option premium</t>
  </si>
  <si>
    <t>Days until settlement</t>
  </si>
  <si>
    <t>Days</t>
  </si>
  <si>
    <t>Contract settlement timing</t>
  </si>
  <si>
    <t>Forward Hedge</t>
  </si>
  <si>
    <t>Inputs and Calculation</t>
  </si>
  <si>
    <t>Line Item</t>
  </si>
  <si>
    <t>Value</t>
  </si>
  <si>
    <t>Forward rate</t>
  </si>
  <si>
    <t>USD proceeds</t>
  </si>
  <si>
    <t>Effective conversion rate</t>
  </si>
  <si>
    <t>The forward locks the USD conversion rate and removes downside from a weaker euro. The trade-off is that the firm cannot benefit if the euro strengthens above F0_in.</t>
  </si>
  <si>
    <t>Money-Market Hedge</t>
  </si>
  <si>
    <t>Three-Step Hedge Calculation</t>
  </si>
  <si>
    <t>Step</t>
  </si>
  <si>
    <t>Calculation</t>
  </si>
  <si>
    <t>Time basis</t>
  </si>
  <si>
    <t>T_DAYS / 360</t>
  </si>
  <si>
    <t>Years</t>
  </si>
  <si>
    <t>1. Borrow EUR</t>
  </si>
  <si>
    <t>FC_AMT / (1 + R_FC × T_DAYS / 360)</t>
  </si>
  <si>
    <t>2. Convert to USD</t>
  </si>
  <si>
    <t>EUR borrowed × S0_in</t>
  </si>
  <si>
    <t>3. Invest USD</t>
  </si>
  <si>
    <t>USD now × (1 + R_USD × T_DAYS / 360)</t>
  </si>
  <si>
    <t>Implied forward</t>
  </si>
  <si>
    <t>S0_in × (1 + R_USD × t) / (1 + R_FC × t)</t>
  </si>
  <si>
    <t>Quoted forward</t>
  </si>
  <si>
    <t>Rate difference</t>
  </si>
  <si>
    <t>Implied forward − F0_in</t>
  </si>
  <si>
    <t>USD maturity proceeds / FC_AMT</t>
  </si>
  <si>
    <t>Borrow the present value of the EUR receivable, convert it at the spot rate, invest the USD, and use the future EUR receipt to repay the euro loan. The calibrated indicative rates make the parity demonstration reconcile to the assigned forward quote.</t>
  </si>
  <si>
    <t>Option Hedge</t>
  </si>
  <si>
    <t>Settlement spot (S_T)</t>
  </si>
  <si>
    <t>Base case</t>
  </si>
  <si>
    <t>EUR Put — Relevant Downside Hedge for the Receivable</t>
  </si>
  <si>
    <t>Protected conversion rate</t>
  </si>
  <si>
    <t>Put intrinsic value per EUR</t>
  </si>
  <si>
    <t>Premium cost</t>
  </si>
  <si>
    <t>USD proceeds after premium</t>
  </si>
  <si>
    <t>EUR Call — Reference Payoff Required by the Build Contract</t>
  </si>
  <si>
    <t>Call intrinsic value per EUR</t>
  </si>
  <si>
    <t>Total USD proceeds including receivable</t>
  </si>
  <si>
    <t>For a EUR receivable, the put provides downside protection while preserving upside. A purchased EUR call does not protect against euro weakness; it is included as a clearly labeled reference strategy because Stage 3 requires both put and call payoffs.</t>
  </si>
  <si>
    <t>Sensitivity Analysis — USD Proceeds by Settlement EUR/USD</t>
  </si>
  <si>
    <t>Formula-driven scenarios from 95% to 105% of S0_in in one-percentage-point increments</t>
  </si>
  <si>
    <t>Multiplier</t>
  </si>
  <si>
    <t>Settlement S_T</t>
  </si>
  <si>
    <t>Chart label</t>
  </si>
  <si>
    <t>Model Validation Checks</t>
  </si>
  <si>
    <t>Check</t>
  </si>
  <si>
    <t>Actual</t>
  </si>
  <si>
    <t>Expected</t>
  </si>
  <si>
    <t>Difference</t>
  </si>
  <si>
    <t>Tolerance</t>
  </si>
  <si>
    <t>Where to Fix</t>
  </si>
  <si>
    <t>Named input completeness</t>
  </si>
  <si>
    <t>Inputs!D6:D15</t>
  </si>
  <si>
    <t>Input boundaries</t>
  </si>
  <si>
    <t>Forward calculation</t>
  </si>
  <si>
    <t>Forward Hedge!B10</t>
  </si>
  <si>
    <t>Covered-interest parity</t>
  </si>
  <si>
    <t>Money Market!C11:C13</t>
  </si>
  <si>
    <t>Money-market reconciliation</t>
  </si>
  <si>
    <t>Money Market!C9</t>
  </si>
  <si>
    <t>Put-option floor</t>
  </si>
  <si>
    <t>Option Hedge / Sensitivity</t>
  </si>
  <si>
    <t>Sensitivity scenario count</t>
  </si>
  <si>
    <t>Sensitivity!A6:G16</t>
  </si>
  <si>
    <t>Sensitivity endpoints</t>
  </si>
  <si>
    <t>Sensitivity!B6:B16</t>
  </si>
  <si>
    <t>Notes &amp; Assumptions</t>
  </si>
  <si>
    <t>Model Conventions and Control Assumptions</t>
  </si>
  <si>
    <t>Assumption</t>
  </si>
  <si>
    <t>Explanation</t>
  </si>
  <si>
    <t>Day-count basis</t>
  </si>
  <si>
    <t>ACT/360</t>
  </si>
  <si>
    <t>Actual days divided by 360 for both currencies.</t>
  </si>
  <si>
    <t>Transaction costs</t>
  </si>
  <si>
    <t>Excluded</t>
  </si>
  <si>
    <t>Bid-ask spreads, fees, taxes, and commissions are excluded.</t>
  </si>
  <si>
    <t>Interest method</t>
  </si>
  <si>
    <t>Simple annual</t>
  </si>
  <si>
    <t>Rates are annualized and prorated over T_DAYS / 360.</t>
  </si>
  <si>
    <t>Option premium treatment</t>
  </si>
  <si>
    <t>Deducted upfront</t>
  </si>
  <si>
    <t>Premiums are deducted directly without financing.</t>
  </si>
  <si>
    <t>FX quote convention</t>
  </si>
  <si>
    <t>EUR/USD indicates the U.S. dollars received per euro.</t>
  </si>
  <si>
    <t>Stage 4 replacement</t>
  </si>
  <si>
    <t>Required</t>
  </si>
  <si>
    <t>All indicative market inputs must be replaced with live data.</t>
  </si>
  <si>
    <t>Sensitivity start</t>
  </si>
  <si>
    <t>Starting settlement-rate multiplier.</t>
  </si>
  <si>
    <t>Sensitivity step</t>
  </si>
  <si>
    <t>One-percentage-point multiplier step.</t>
  </si>
  <si>
    <t>Sensitivity scenarios</t>
  </si>
  <si>
    <t>95% through 105%, inclusive.</t>
  </si>
  <si>
    <t>Parity tolerance</t>
  </si>
  <si>
    <t>Relative tolerance for parity and reconciliation checks.</t>
  </si>
  <si>
    <t>Currency tolerance</t>
  </si>
  <si>
    <t>Rounding tolerance in USD.</t>
  </si>
  <si>
    <t>Expected named inputs</t>
  </si>
  <si>
    <t>Required named-range count from the build contract.</t>
  </si>
  <si>
    <t>Exact-count tolerance</t>
  </si>
  <si>
    <t>Counts must match exactly.</t>
  </si>
  <si>
    <t>Rate-formula tolerance</t>
  </si>
  <si>
    <t>Tolerance for sensitivity endpoint formulas.</t>
  </si>
  <si>
    <t>Build Notes</t>
  </si>
  <si>
    <t>The Stage 2 specification leaves S0_in, R_USD, R_FC, K_PUT, and K_CALL as TBD. Stage 3 therefore uses clearly labeled indicative values so every formula and validation check can run. Stage 4 must replace them with sourced live data.</t>
  </si>
  <si>
    <t>R_FC is calibrated to the indicative spot, USD rate, and assigned forward quote so the covered-interest-parity check can be demonstrated. It is not presented as a live market observation.</t>
  </si>
  <si>
    <t>The purchased call is included for build-contract completeness and as a reference payoff. It does not hedge the downside risk of a EUR receivable; the EUR put is the relevant protective option.</t>
  </si>
  <si>
    <t>Sources and Provenance</t>
  </si>
  <si>
    <t>Item</t>
  </si>
  <si>
    <t>Source</t>
  </si>
  <si>
    <t>As of</t>
  </si>
  <si>
    <t>Notes</t>
  </si>
  <si>
    <t>Assigned Scenario 3</t>
  </si>
  <si>
    <t>https://github.com/adamwstauffer/shidler/blob/main/courses/International-Finance-And-Securities/projects/fx-hedging/scenarios.md</t>
  </si>
  <si>
    <t>EUR 12.5m receivable; 365 days; F0 1.0910; put premium 0.017; call premium 0.022.</t>
  </si>
  <si>
    <t>Stage 2 specification</t>
  </si>
  <si>
    <t>https://github.com/timmy3-del/Timmy-Vuong/blob/main/docs/specs/2026-08-07-Vuong-tech-services-spec.md</t>
  </si>
  <si>
    <t>Workbook source specification.</t>
  </si>
  <si>
    <t>Stage 3 instructions</t>
  </si>
  <si>
    <t>https://adamwstauffer.github.io/ai-lms/fx-hedging-stage3.html</t>
  </si>
  <si>
    <t>Build contract and audit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</si>
</sst>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00000"/>
    <numFmt numFmtId="166" formatCode="#,##0;[Red]\(#,##0\);\-"/>
    <numFmt numFmtId="167" formatCode="0.0000"/>
    <numFmt numFmtId="168" formatCode="\$#,##0;[Red]\(\$#,##0\);\-"/>
  </numFmts>
  <fonts count="14">
    <font>
      <sz val="11"/>
      <name val="Carlito"/>
    </font>
    <font>
      <b/>
      <sz val="18"/>
      <color rgb="FFFFFFFF"/>
      <name val="Open Sans"/>
    </font>
    <font>
      <b/>
      <sz val="11"/>
      <color rgb="FFFFFFFF"/>
      <name val="Open Sans"/>
    </font>
    <font>
      <b/>
      <sz val="10"/>
      <color rgb="FFFFFFFF"/>
      <name val="Open Sans"/>
    </font>
    <font>
      <sz val="10"/>
      <color rgb="FF000000"/>
      <name val="Open Sans"/>
    </font>
    <font>
      <sz val="9"/>
      <color rgb="FF024731"/>
      <name val="Open Sans"/>
    </font>
    <font>
      <b/>
      <sz val="10"/>
      <color rgb="FF000000"/>
      <name val="Open Sans"/>
    </font>
    <font>
      <b/>
      <sz val="10"/>
      <color rgb="FF0000FF"/>
      <name val="Open Sans"/>
    </font>
    <font>
      <sz val="10"/>
      <name val="Open Sans"/>
    </font>
    <font>
      <b/>
      <sz val="10"/>
      <name val="Open Sans"/>
    </font>
    <font>
      <sz val="2"/>
      <color rgb="FFFFFFFF"/>
      <name val="Open Sans"/>
    </font>
    <font>
      <b/>
      <sz val="12"/>
      <name val="Open Sans"/>
    </font>
    <font>
      <b/>
      <sz val="10"/>
      <color rgb="FF024731"/>
      <name val="Open Sans"/>
    </font>
    <font>
      <strike/>
      <sz val="11"/>
      <name val="Carlito"/>
    </font>
  </fonts>
  <fills count="8">
    <fill>
      <patternFill patternType="none"/>
    </fill>
    <fill>
      <patternFill patternType="gray125"/>
    </fill>
    <fill>
      <patternFill patternType="solid">
        <fgColor rgb="FF024731"/>
      </patternFill>
    </fill>
    <fill>
      <patternFill patternType="solid">
        <fgColor rgb="FFD9EAF7"/>
      </patternFill>
    </fill>
    <fill>
      <patternFill patternType="solid">
        <fgColor rgb="FFFFF2CC"/>
      </patternFill>
    </fill>
    <fill>
      <patternFill patternType="solid">
        <fgColor rgb="FFE2F0D9"/>
      </patternFill>
    </fill>
    <fill>
      <patternFill patternType="solid">
        <fgColor rgb="FFE7E6E6"/>
      </patternFill>
    </fill>
    <fill>
      <patternFill patternType="solid">
        <fgColor rgb="FFFFFFFF"/>
      </patternFill>
    </fill>
  </fills>
  <borders count="16">
    <border>
      <left/>
      <right/>
      <top/>
      <bottom/>
      <diagonal/>
    </border>
    <border>
      <left style="thin">
        <color rgb="FF024731"/>
      </left>
      <right/>
      <top style="thin">
        <color rgb="FF024731"/>
      </top>
      <bottom style="thin">
        <color rgb="FF024731"/>
      </bottom>
      <diagonal/>
    </border>
    <border>
      <left/>
      <right/>
      <top style="thin">
        <color rgb="FF024731"/>
      </top>
      <bottom style="thin">
        <color rgb="FF024731"/>
      </bottom>
      <diagonal/>
    </border>
    <border>
      <left/>
      <right style="thin">
        <color rgb="FF024731"/>
      </right>
      <top style="thin">
        <color rgb="FF024731"/>
      </top>
      <bottom style="thin">
        <color rgb="FF024731"/>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
      <left/>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style="medium">
        <color rgb="FF024731"/>
      </left>
      <right/>
      <top style="medium">
        <color rgb="FF024731"/>
      </top>
      <bottom style="medium">
        <color rgb="FF024731"/>
      </bottom>
      <diagonal/>
    </border>
    <border>
      <left/>
      <right style="medium">
        <color rgb="FF024731"/>
      </right>
      <top style="medium">
        <color rgb="FF024731"/>
      </top>
      <bottom style="medium">
        <color rgb="FF024731"/>
      </bottom>
      <diagonal/>
    </border>
  </borders>
  <cellStyleXfs count="1">
    <xf numFmtId="0" fontId="0" fillId="0" borderId="0"/>
  </cellStyleXfs>
  <cellXfs count="64">
    <xf numFmtId="0" fontId="0" fillId="0" borderId="0" xfId="0"/>
    <xf numFmtId="0" fontId="3" fillId="2" borderId="4" xfId="0" applyFont="1" applyFill="1" applyBorder="1" applyAlignment="1">
      <alignment horizontal="center" vertical="center" wrapText="1"/>
    </xf>
    <xf numFmtId="0" fontId="4" fillId="0" borderId="5" xfId="0" applyFont="1" applyBorder="1" applyAlignment="1">
      <alignment vertical="center"/>
    </xf>
    <xf numFmtId="0" fontId="4" fillId="0" borderId="6" xfId="0" applyFont="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10" fontId="4" fillId="3" borderId="6" xfId="0" applyNumberFormat="1" applyFont="1" applyFill="1" applyBorder="1" applyAlignment="1">
      <alignment vertical="center"/>
    </xf>
    <xf numFmtId="1" fontId="4" fillId="3" borderId="6" xfId="0" applyNumberFormat="1" applyFont="1" applyFill="1" applyBorder="1" applyAlignment="1">
      <alignment vertical="center"/>
    </xf>
    <xf numFmtId="164" fontId="4" fillId="3" borderId="6" xfId="0" applyNumberFormat="1" applyFont="1" applyFill="1" applyBorder="1" applyAlignment="1">
      <alignment vertical="center"/>
    </xf>
    <xf numFmtId="165" fontId="4" fillId="3" borderId="6" xfId="0" applyNumberFormat="1" applyFont="1" applyFill="1" applyBorder="1" applyAlignment="1">
      <alignment vertical="center"/>
    </xf>
    <xf numFmtId="0" fontId="5" fillId="0" borderId="5" xfId="0" applyFont="1" applyBorder="1" applyAlignment="1">
      <alignment vertical="center" wrapText="1"/>
    </xf>
    <xf numFmtId="0" fontId="5" fillId="0" borderId="6"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4" borderId="5" xfId="0" applyFont="1" applyFill="1" applyBorder="1" applyAlignment="1">
      <alignment vertical="center"/>
    </xf>
    <xf numFmtId="0" fontId="4" fillId="4" borderId="6" xfId="0" applyFont="1" applyFill="1" applyBorder="1" applyAlignment="1">
      <alignment vertical="center"/>
    </xf>
    <xf numFmtId="166" fontId="7" fillId="4" borderId="5" xfId="0" applyNumberFormat="1" applyFont="1" applyFill="1" applyBorder="1" applyAlignment="1">
      <alignment vertical="center"/>
    </xf>
    <xf numFmtId="167" fontId="7" fillId="4" borderId="6" xfId="0" applyNumberFormat="1" applyFont="1" applyFill="1" applyBorder="1" applyAlignment="1">
      <alignment vertical="center"/>
    </xf>
    <xf numFmtId="10" fontId="7" fillId="4" borderId="6" xfId="0" applyNumberFormat="1" applyFont="1" applyFill="1" applyBorder="1" applyAlignment="1">
      <alignment vertical="center"/>
    </xf>
    <xf numFmtId="1" fontId="7" fillId="4" borderId="6" xfId="0" applyNumberFormat="1" applyFont="1" applyFill="1" applyBorder="1" applyAlignment="1">
      <alignment vertical="center"/>
    </xf>
    <xf numFmtId="0" fontId="4" fillId="5" borderId="6" xfId="0" applyFont="1" applyFill="1" applyBorder="1" applyAlignment="1">
      <alignment vertical="center"/>
    </xf>
    <xf numFmtId="0" fontId="4" fillId="6" borderId="6" xfId="0" applyFont="1" applyFill="1" applyBorder="1" applyAlignment="1">
      <alignment vertical="center"/>
    </xf>
    <xf numFmtId="0" fontId="6" fillId="6" borderId="6" xfId="0" applyFont="1" applyFill="1" applyBorder="1" applyAlignment="1">
      <alignment vertical="center"/>
    </xf>
    <xf numFmtId="166" fontId="4" fillId="5" borderId="5" xfId="0" applyNumberFormat="1" applyFont="1" applyFill="1" applyBorder="1" applyAlignment="1">
      <alignment vertical="center"/>
    </xf>
    <xf numFmtId="167" fontId="4" fillId="5" borderId="6" xfId="0" applyNumberFormat="1" applyFont="1" applyFill="1" applyBorder="1" applyAlignment="1">
      <alignment vertical="center"/>
    </xf>
    <xf numFmtId="1" fontId="4" fillId="5" borderId="6" xfId="0" applyNumberFormat="1" applyFont="1" applyFill="1" applyBorder="1" applyAlignment="1">
      <alignment vertical="center"/>
    </xf>
    <xf numFmtId="168" fontId="6" fillId="6" borderId="6" xfId="0" applyNumberFormat="1" applyFont="1" applyFill="1" applyBorder="1" applyAlignment="1">
      <alignment vertical="center"/>
    </xf>
    <xf numFmtId="167" fontId="6" fillId="6" borderId="6" xfId="0" applyNumberFormat="1" applyFont="1" applyFill="1" applyBorder="1" applyAlignment="1">
      <alignment vertical="center"/>
    </xf>
    <xf numFmtId="167" fontId="4" fillId="5" borderId="5" xfId="0" applyNumberFormat="1" applyFont="1" applyFill="1" applyBorder="1" applyAlignment="1">
      <alignment vertical="center"/>
    </xf>
    <xf numFmtId="166" fontId="4" fillId="5" borderId="6" xfId="0" applyNumberFormat="1" applyFont="1" applyFill="1" applyBorder="1" applyAlignment="1">
      <alignment vertical="center"/>
    </xf>
    <xf numFmtId="168" fontId="4" fillId="5" borderId="6" xfId="0" applyNumberFormat="1" applyFont="1" applyFill="1" applyBorder="1" applyAlignment="1">
      <alignment vertical="center"/>
    </xf>
    <xf numFmtId="0" fontId="6" fillId="6" borderId="5" xfId="0" applyFont="1" applyFill="1" applyBorder="1" applyAlignment="1">
      <alignment vertical="center"/>
    </xf>
    <xf numFmtId="10" fontId="4" fillId="5" borderId="5" xfId="0" applyNumberFormat="1" applyFont="1" applyFill="1" applyBorder="1" applyAlignment="1">
      <alignment vertical="center"/>
    </xf>
    <xf numFmtId="10" fontId="4" fillId="5" borderId="6" xfId="0" applyNumberFormat="1" applyFont="1" applyFill="1" applyBorder="1" applyAlignment="1">
      <alignment vertical="center"/>
    </xf>
    <xf numFmtId="168" fontId="6" fillId="6" borderId="5" xfId="0" applyNumberFormat="1" applyFont="1" applyFill="1" applyBorder="1" applyAlignment="1">
      <alignment vertical="center"/>
    </xf>
    <xf numFmtId="0" fontId="10" fillId="7" borderId="0" xfId="0" applyFont="1" applyFill="1"/>
    <xf numFmtId="0" fontId="11" fillId="6" borderId="14" xfId="0" applyFont="1" applyFill="1" applyBorder="1"/>
    <xf numFmtId="0" fontId="11" fillId="6" borderId="15" xfId="0" applyFont="1" applyFill="1" applyBorder="1"/>
    <xf numFmtId="165" fontId="4" fillId="5" borderId="5" xfId="0" applyNumberFormat="1" applyFont="1" applyFill="1" applyBorder="1" applyAlignment="1">
      <alignment vertical="center"/>
    </xf>
    <xf numFmtId="165" fontId="4" fillId="5" borderId="6" xfId="0" applyNumberFormat="1" applyFont="1" applyFill="1" applyBorder="1" applyAlignment="1">
      <alignment vertical="center"/>
    </xf>
    <xf numFmtId="0" fontId="12" fillId="0" borderId="5" xfId="0" applyFont="1" applyBorder="1" applyAlignment="1">
      <alignment vertical="center"/>
    </xf>
    <xf numFmtId="0" fontId="12" fillId="0" borderId="6" xfId="0" applyFont="1" applyBorder="1" applyAlignment="1">
      <alignment vertical="center"/>
    </xf>
    <xf numFmtId="167" fontId="6" fillId="6" borderId="5" xfId="0" applyNumberFormat="1" applyFont="1" applyFill="1" applyBorder="1" applyAlignment="1">
      <alignment vertical="center"/>
    </xf>
    <xf numFmtId="166" fontId="6" fillId="6" borderId="5" xfId="0" applyNumberFormat="1" applyFont="1" applyFill="1" applyBorder="1" applyAlignment="1">
      <alignment vertical="center"/>
    </xf>
    <xf numFmtId="10" fontId="6" fillId="6" borderId="6" xfId="0" applyNumberFormat="1" applyFont="1" applyFill="1" applyBorder="1" applyAlignment="1">
      <alignment vertical="center"/>
    </xf>
    <xf numFmtId="1" fontId="6" fillId="6" borderId="6" xfId="0" applyNumberFormat="1" applyFont="1" applyFill="1" applyBorder="1" applyAlignment="1">
      <alignment vertical="center"/>
    </xf>
    <xf numFmtId="0" fontId="1" fillId="2" borderId="0" xfId="0" applyFont="1" applyFill="1" applyAlignment="1">
      <alignment horizontal="lef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9" fillId="4" borderId="0" xfId="0" applyFont="1" applyFill="1" applyAlignment="1">
      <alignment vertical="center" wrapText="1"/>
    </xf>
    <xf numFmtId="0" fontId="6" fillId="4" borderId="0" xfId="0" applyFont="1" applyFill="1" applyAlignment="1">
      <alignment horizontal="center" vertical="center"/>
    </xf>
    <xf numFmtId="0" fontId="8" fillId="4" borderId="0" xfId="0" applyFont="1" applyFill="1" applyAlignment="1">
      <alignment vertical="top" wrapText="1"/>
    </xf>
    <xf numFmtId="0" fontId="9" fillId="4" borderId="0" xfId="0" applyFont="1" applyFill="1" applyAlignment="1">
      <alignment horizontal="center"/>
    </xf>
    <xf numFmtId="0" fontId="4" fillId="4" borderId="12" xfId="0" applyFont="1" applyFill="1" applyBorder="1" applyAlignment="1">
      <alignment vertical="top" wrapText="1"/>
    </xf>
    <xf numFmtId="0" fontId="4" fillId="4" borderId="5" xfId="0" applyFont="1" applyFill="1" applyBorder="1" applyAlignment="1">
      <alignment vertical="top" wrapText="1"/>
    </xf>
    <xf numFmtId="0" fontId="4" fillId="4" borderId="13" xfId="0" applyFont="1" applyFill="1" applyBorder="1" applyAlignment="1">
      <alignment vertical="top" wrapText="1"/>
    </xf>
    <xf numFmtId="0" fontId="4" fillId="4" borderId="7" xfId="0" applyFont="1" applyFill="1" applyBorder="1" applyAlignment="1">
      <alignment vertical="top" wrapText="1"/>
    </xf>
    <xf numFmtId="0" fontId="4" fillId="4" borderId="8" xfId="0" applyFont="1" applyFill="1" applyBorder="1" applyAlignment="1">
      <alignment vertical="top" wrapText="1"/>
    </xf>
    <xf numFmtId="0" fontId="4" fillId="4" borderId="9" xfId="0" applyFont="1" applyFill="1" applyBorder="1" applyAlignment="1">
      <alignment vertical="top" wrapText="1"/>
    </xf>
    <xf numFmtId="0" fontId="4" fillId="4" borderId="10" xfId="0" applyFont="1" applyFill="1" applyBorder="1" applyAlignment="1">
      <alignment vertical="top" wrapText="1"/>
    </xf>
    <xf numFmtId="0" fontId="4" fillId="4" borderId="0" xfId="0" applyFont="1" applyFill="1" applyAlignment="1">
      <alignment vertical="top" wrapText="1"/>
    </xf>
    <xf numFmtId="0" fontId="4" fillId="4" borderId="11" xfId="0" applyFont="1" applyFill="1" applyBorder="1" applyAlignment="1">
      <alignment vertical="top" wrapText="1"/>
    </xf>
    <xf numFmtId="0" fontId="13" fillId="0" borderId="0" xfId="0" applyFont="1"/>
  </cellXfs>
  <cellStyles count="1">
    <cellStyle name="Normal" xfId="0" builtinId="0"/>
  </cellStyles>
  <dxfs count="6">
    <dxf>
      <font>
        <b/>
        <color rgb="FF9C0006"/>
      </font>
      <fill>
        <patternFill patternType="solid">
          <bgColor rgb="FFF4CCCC"/>
        </patternFill>
      </fill>
    </dxf>
    <dxf>
      <font>
        <b/>
        <color rgb="FF006100"/>
      </font>
      <fill>
        <patternFill patternType="solid">
          <bgColor rgb="FFC6E0B4"/>
        </patternFill>
      </fill>
    </dxf>
    <dxf>
      <font>
        <b/>
        <color rgb="FF9C0006"/>
      </font>
      <fill>
        <patternFill patternType="solid">
          <bgColor rgb="FFF4CCCC"/>
        </patternFill>
      </fill>
    </dxf>
    <dxf>
      <font>
        <b/>
        <color rgb="FF006100"/>
      </font>
      <fill>
        <patternFill patternType="solid">
          <bgColor rgb="FFC6E0B4"/>
        </patternFill>
      </fill>
    </dxf>
    <dxf>
      <font>
        <b/>
        <color rgb="FF9C0006"/>
      </font>
      <fill>
        <patternFill patternType="solid">
          <bgColor rgb="FFF4CCCC"/>
        </patternFill>
      </fill>
    </dxf>
    <dxf>
      <font>
        <b/>
        <color rgb="FF006100"/>
      </font>
      <fill>
        <patternFill patternType="solid">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t>USD Proceeds vs Settlement-Rate Scenario</a:t>
            </a:r>
          </a:p>
        </c:rich>
      </c:tx>
      <c:overlay val="0"/>
    </c:title>
    <c:autoTitleDeleted val="0"/>
    <c:plotArea>
      <c:layout/>
      <c:lineChart>
        <c:grouping val="standard"/>
        <c:varyColors val="0"/>
        <c:ser>
          <c:idx val="0"/>
          <c:order val="0"/>
          <c:tx>
            <c:v>No Hedge</c:v>
          </c:tx>
          <c:marker>
            <c:symbol val="none"/>
          </c:marker>
          <c:cat>
            <c:strRef>
              <c:f>Sensitivity!$H$6:$H$16</c:f>
              <c:strCache>
                <c:ptCount val="11"/>
                <c:pt idx="0">
                  <c:v>95%</c:v>
                </c:pt>
                <c:pt idx="1">
                  <c:v>96%</c:v>
                </c:pt>
                <c:pt idx="2">
                  <c:v>97%</c:v>
                </c:pt>
                <c:pt idx="3">
                  <c:v>98%</c:v>
                </c:pt>
                <c:pt idx="4">
                  <c:v>99%</c:v>
                </c:pt>
                <c:pt idx="5">
                  <c:v>100%</c:v>
                </c:pt>
                <c:pt idx="6">
                  <c:v>101%</c:v>
                </c:pt>
                <c:pt idx="7">
                  <c:v>102%</c:v>
                </c:pt>
                <c:pt idx="8">
                  <c:v>103%</c:v>
                </c:pt>
                <c:pt idx="9">
                  <c:v>104%</c:v>
                </c:pt>
                <c:pt idx="10">
                  <c:v>105%</c:v>
                </c:pt>
              </c:strCache>
            </c:strRef>
          </c:cat>
          <c:val>
            <c:numRef>
              <c:f>Sensitivity!$C$6:$C$16</c:f>
              <c:numCache>
                <c:formatCode>\$#,##0;[Red]\(\$#,##0\);\-</c:formatCode>
                <c:ptCount val="11"/>
                <c:pt idx="0">
                  <c:v>12825000</c:v>
                </c:pt>
                <c:pt idx="1">
                  <c:v>12960000</c:v>
                </c:pt>
                <c:pt idx="2">
                  <c:v>13095000.000000002</c:v>
                </c:pt>
                <c:pt idx="3">
                  <c:v>13230000</c:v>
                </c:pt>
                <c:pt idx="4">
                  <c:v>13365000.000000002</c:v>
                </c:pt>
                <c:pt idx="5">
                  <c:v>13500000</c:v>
                </c:pt>
                <c:pt idx="6">
                  <c:v>13635000</c:v>
                </c:pt>
                <c:pt idx="7">
                  <c:v>13770000.000000002</c:v>
                </c:pt>
                <c:pt idx="8">
                  <c:v>13905000</c:v>
                </c:pt>
                <c:pt idx="9">
                  <c:v>14040000.000000002</c:v>
                </c:pt>
                <c:pt idx="10">
                  <c:v>14175000.000000002</c:v>
                </c:pt>
              </c:numCache>
            </c:numRef>
          </c:val>
          <c:smooth val="0"/>
          <c:extLst>
            <c:ext xmlns:c16="http://schemas.microsoft.com/office/drawing/2014/chart" uri="{C3380CC4-5D6E-409C-BE32-E72D297353CC}">
              <c16:uniqueId val="{00000000-CC82-423F-A966-D15B6829F155}"/>
            </c:ext>
          </c:extLst>
        </c:ser>
        <c:ser>
          <c:idx val="1"/>
          <c:order val="1"/>
          <c:tx>
            <c:v>Forward</c:v>
          </c:tx>
          <c:marker>
            <c:symbol val="none"/>
          </c:marker>
          <c:cat>
            <c:strRef>
              <c:f>Sensitivity!$H$6:$H$16</c:f>
              <c:strCache>
                <c:ptCount val="11"/>
                <c:pt idx="0">
                  <c:v>95%</c:v>
                </c:pt>
                <c:pt idx="1">
                  <c:v>96%</c:v>
                </c:pt>
                <c:pt idx="2">
                  <c:v>97%</c:v>
                </c:pt>
                <c:pt idx="3">
                  <c:v>98%</c:v>
                </c:pt>
                <c:pt idx="4">
                  <c:v>99%</c:v>
                </c:pt>
                <c:pt idx="5">
                  <c:v>100%</c:v>
                </c:pt>
                <c:pt idx="6">
                  <c:v>101%</c:v>
                </c:pt>
                <c:pt idx="7">
                  <c:v>102%</c:v>
                </c:pt>
                <c:pt idx="8">
                  <c:v>103%</c:v>
                </c:pt>
                <c:pt idx="9">
                  <c:v>104%</c:v>
                </c:pt>
                <c:pt idx="10">
                  <c:v>105%</c:v>
                </c:pt>
              </c:strCache>
            </c:strRef>
          </c:cat>
          <c:val>
            <c:numRef>
              <c:f>Sensitivity!$D$6:$D$16</c:f>
              <c:numCache>
                <c:formatCode>\$#,##0;[Red]\(\$#,##0\);\-</c:formatCode>
                <c:ptCount val="11"/>
                <c:pt idx="0">
                  <c:v>13637500</c:v>
                </c:pt>
                <c:pt idx="1">
                  <c:v>13637500</c:v>
                </c:pt>
                <c:pt idx="2">
                  <c:v>13637500</c:v>
                </c:pt>
                <c:pt idx="3">
                  <c:v>13637500</c:v>
                </c:pt>
                <c:pt idx="4">
                  <c:v>13637500</c:v>
                </c:pt>
                <c:pt idx="5">
                  <c:v>13637500</c:v>
                </c:pt>
                <c:pt idx="6">
                  <c:v>13637500</c:v>
                </c:pt>
                <c:pt idx="7">
                  <c:v>13637500</c:v>
                </c:pt>
                <c:pt idx="8">
                  <c:v>13637500</c:v>
                </c:pt>
                <c:pt idx="9">
                  <c:v>13637500</c:v>
                </c:pt>
                <c:pt idx="10">
                  <c:v>13637500</c:v>
                </c:pt>
              </c:numCache>
            </c:numRef>
          </c:val>
          <c:smooth val="0"/>
          <c:extLst>
            <c:ext xmlns:c16="http://schemas.microsoft.com/office/drawing/2014/chart" uri="{C3380CC4-5D6E-409C-BE32-E72D297353CC}">
              <c16:uniqueId val="{00000001-CC82-423F-A966-D15B6829F155}"/>
            </c:ext>
          </c:extLst>
        </c:ser>
        <c:ser>
          <c:idx val="2"/>
          <c:order val="2"/>
          <c:tx>
            <c:v>Money Market</c:v>
          </c:tx>
          <c:marker>
            <c:symbol val="none"/>
          </c:marker>
          <c:cat>
            <c:strRef>
              <c:f>Sensitivity!$H$6:$H$16</c:f>
              <c:strCache>
                <c:ptCount val="11"/>
                <c:pt idx="0">
                  <c:v>95%</c:v>
                </c:pt>
                <c:pt idx="1">
                  <c:v>96%</c:v>
                </c:pt>
                <c:pt idx="2">
                  <c:v>97%</c:v>
                </c:pt>
                <c:pt idx="3">
                  <c:v>98%</c:v>
                </c:pt>
                <c:pt idx="4">
                  <c:v>99%</c:v>
                </c:pt>
                <c:pt idx="5">
                  <c:v>100%</c:v>
                </c:pt>
                <c:pt idx="6">
                  <c:v>101%</c:v>
                </c:pt>
                <c:pt idx="7">
                  <c:v>102%</c:v>
                </c:pt>
                <c:pt idx="8">
                  <c:v>103%</c:v>
                </c:pt>
                <c:pt idx="9">
                  <c:v>104%</c:v>
                </c:pt>
                <c:pt idx="10">
                  <c:v>105%</c:v>
                </c:pt>
              </c:strCache>
            </c:strRef>
          </c:cat>
          <c:val>
            <c:numRef>
              <c:f>Sensitivity!$E$6:$E$16</c:f>
              <c:numCache>
                <c:formatCode>\$#,##0;[Red]\(\$#,##0\);\-</c:formatCode>
                <c:ptCount val="11"/>
                <c:pt idx="0">
                  <c:v>13637499.999999998</c:v>
                </c:pt>
                <c:pt idx="1">
                  <c:v>13637499.999999998</c:v>
                </c:pt>
                <c:pt idx="2">
                  <c:v>13637499.999999998</c:v>
                </c:pt>
                <c:pt idx="3">
                  <c:v>13637499.999999998</c:v>
                </c:pt>
                <c:pt idx="4">
                  <c:v>13637499.999999998</c:v>
                </c:pt>
                <c:pt idx="5">
                  <c:v>13637499.999999998</c:v>
                </c:pt>
                <c:pt idx="6">
                  <c:v>13637499.999999998</c:v>
                </c:pt>
                <c:pt idx="7">
                  <c:v>13637499.999999998</c:v>
                </c:pt>
                <c:pt idx="8">
                  <c:v>13637499.999999998</c:v>
                </c:pt>
                <c:pt idx="9">
                  <c:v>13637499.999999998</c:v>
                </c:pt>
                <c:pt idx="10">
                  <c:v>13637499.999999998</c:v>
                </c:pt>
              </c:numCache>
            </c:numRef>
          </c:val>
          <c:smooth val="0"/>
          <c:extLst>
            <c:ext xmlns:c16="http://schemas.microsoft.com/office/drawing/2014/chart" uri="{C3380CC4-5D6E-409C-BE32-E72D297353CC}">
              <c16:uniqueId val="{00000002-CC82-423F-A966-D15B6829F155}"/>
            </c:ext>
          </c:extLst>
        </c:ser>
        <c:ser>
          <c:idx val="3"/>
          <c:order val="3"/>
          <c:tx>
            <c:v>EUR Put</c:v>
          </c:tx>
          <c:marker>
            <c:symbol val="none"/>
          </c:marker>
          <c:cat>
            <c:strRef>
              <c:f>Sensitivity!$H$6:$H$16</c:f>
              <c:strCache>
                <c:ptCount val="11"/>
                <c:pt idx="0">
                  <c:v>95%</c:v>
                </c:pt>
                <c:pt idx="1">
                  <c:v>96%</c:v>
                </c:pt>
                <c:pt idx="2">
                  <c:v>97%</c:v>
                </c:pt>
                <c:pt idx="3">
                  <c:v>98%</c:v>
                </c:pt>
                <c:pt idx="4">
                  <c:v>99%</c:v>
                </c:pt>
                <c:pt idx="5">
                  <c:v>100%</c:v>
                </c:pt>
                <c:pt idx="6">
                  <c:v>101%</c:v>
                </c:pt>
                <c:pt idx="7">
                  <c:v>102%</c:v>
                </c:pt>
                <c:pt idx="8">
                  <c:v>103%</c:v>
                </c:pt>
                <c:pt idx="9">
                  <c:v>104%</c:v>
                </c:pt>
                <c:pt idx="10">
                  <c:v>105%</c:v>
                </c:pt>
              </c:strCache>
            </c:strRef>
          </c:cat>
          <c:val>
            <c:numRef>
              <c:f>Sensitivity!$F$6:$F$16</c:f>
              <c:numCache>
                <c:formatCode>\$#,##0;[Red]\(\$#,##0\);\-</c:formatCode>
                <c:ptCount val="11"/>
                <c:pt idx="0">
                  <c:v>13162500</c:v>
                </c:pt>
                <c:pt idx="1">
                  <c:v>13162500</c:v>
                </c:pt>
                <c:pt idx="2">
                  <c:v>13162500</c:v>
                </c:pt>
                <c:pt idx="3">
                  <c:v>13162500</c:v>
                </c:pt>
                <c:pt idx="4">
                  <c:v>13162500</c:v>
                </c:pt>
                <c:pt idx="5">
                  <c:v>13287500</c:v>
                </c:pt>
                <c:pt idx="6">
                  <c:v>13422500</c:v>
                </c:pt>
                <c:pt idx="7">
                  <c:v>13557500.000000002</c:v>
                </c:pt>
                <c:pt idx="8">
                  <c:v>13692500</c:v>
                </c:pt>
                <c:pt idx="9">
                  <c:v>13827500.000000002</c:v>
                </c:pt>
                <c:pt idx="10">
                  <c:v>13962500.000000002</c:v>
                </c:pt>
              </c:numCache>
            </c:numRef>
          </c:val>
          <c:smooth val="0"/>
          <c:extLst>
            <c:ext xmlns:c16="http://schemas.microsoft.com/office/drawing/2014/chart" uri="{C3380CC4-5D6E-409C-BE32-E72D297353CC}">
              <c16:uniqueId val="{00000003-CC82-423F-A966-D15B6829F155}"/>
            </c:ext>
          </c:extLst>
        </c:ser>
        <c:ser>
          <c:idx val="4"/>
          <c:order val="4"/>
          <c:tx>
            <c:v>EUR Call (Reference)</c:v>
          </c:tx>
          <c:marker>
            <c:symbol val="none"/>
          </c:marker>
          <c:cat>
            <c:strRef>
              <c:f>Sensitivity!$H$6:$H$16</c:f>
              <c:strCache>
                <c:ptCount val="11"/>
                <c:pt idx="0">
                  <c:v>95%</c:v>
                </c:pt>
                <c:pt idx="1">
                  <c:v>96%</c:v>
                </c:pt>
                <c:pt idx="2">
                  <c:v>97%</c:v>
                </c:pt>
                <c:pt idx="3">
                  <c:v>98%</c:v>
                </c:pt>
                <c:pt idx="4">
                  <c:v>99%</c:v>
                </c:pt>
                <c:pt idx="5">
                  <c:v>100%</c:v>
                </c:pt>
                <c:pt idx="6">
                  <c:v>101%</c:v>
                </c:pt>
                <c:pt idx="7">
                  <c:v>102%</c:v>
                </c:pt>
                <c:pt idx="8">
                  <c:v>103%</c:v>
                </c:pt>
                <c:pt idx="9">
                  <c:v>104%</c:v>
                </c:pt>
                <c:pt idx="10">
                  <c:v>105%</c:v>
                </c:pt>
              </c:strCache>
            </c:strRef>
          </c:cat>
          <c:val>
            <c:numRef>
              <c:f>Sensitivity!$G$6:$G$16</c:f>
              <c:numCache>
                <c:formatCode>\$#,##0;[Red]\(\$#,##0\);\-</c:formatCode>
                <c:ptCount val="11"/>
                <c:pt idx="0">
                  <c:v>12550000</c:v>
                </c:pt>
                <c:pt idx="1">
                  <c:v>12685000</c:v>
                </c:pt>
                <c:pt idx="2">
                  <c:v>12820000.000000002</c:v>
                </c:pt>
                <c:pt idx="3">
                  <c:v>12955000</c:v>
                </c:pt>
                <c:pt idx="4">
                  <c:v>13090000.000000002</c:v>
                </c:pt>
                <c:pt idx="5">
                  <c:v>13225000</c:v>
                </c:pt>
                <c:pt idx="6">
                  <c:v>13360000</c:v>
                </c:pt>
                <c:pt idx="7">
                  <c:v>13495000.000000002</c:v>
                </c:pt>
                <c:pt idx="8">
                  <c:v>13660000</c:v>
                </c:pt>
                <c:pt idx="9">
                  <c:v>13930000.000000004</c:v>
                </c:pt>
                <c:pt idx="10">
                  <c:v>14200000.000000002</c:v>
                </c:pt>
              </c:numCache>
            </c:numRef>
          </c:val>
          <c:smooth val="0"/>
          <c:extLst>
            <c:ext xmlns:c16="http://schemas.microsoft.com/office/drawing/2014/chart" uri="{C3380CC4-5D6E-409C-BE32-E72D297353CC}">
              <c16:uniqueId val="{00000004-CC82-423F-A966-D15B6829F15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txPr>
          <a:bodyPr anchorCtr="1"/>
          <a:lstStyle/>
          <a:p>
            <a:pPr>
              <a:defRPr sz="675"/>
            </a:pPr>
            <a:endParaRPr lang="en-U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3</xdr:row>
      <xdr:rowOff>0</xdr:rowOff>
    </xdr:from>
    <xdr:to>
      <xdr:col>17</xdr:col>
      <xdr:colOff>0</xdr:colOff>
      <xdr:row>22</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showGridLines="0" tabSelected="1" workbookViewId="0">
      <selection activeCell="E34" sqref="E34"/>
    </sheetView>
  </sheetViews>
  <sheetFormatPr defaultRowHeight="14.25"/>
  <cols>
    <col min="1" max="1" width="25" customWidth="1"/>
    <col min="2" max="2" width="20" customWidth="1"/>
    <col min="3" max="3" width="17" customWidth="1"/>
    <col min="4" max="4" width="18" customWidth="1"/>
    <col min="5" max="5" width="22" customWidth="1"/>
    <col min="6" max="6" width="50" customWidth="1"/>
    <col min="7" max="7" width="4" customWidth="1"/>
    <col min="8" max="8" width="19" customWidth="1"/>
    <col min="9" max="9" width="18" customWidth="1"/>
    <col min="10" max="10" width="45" customWidth="1"/>
  </cols>
  <sheetData>
    <row r="1" spans="1:10" ht="30" customHeight="1">
      <c r="A1" s="46" t="s">
        <v>0</v>
      </c>
      <c r="B1" s="46"/>
      <c r="C1" s="46"/>
      <c r="D1" s="46"/>
      <c r="E1" s="46"/>
      <c r="F1" s="46"/>
      <c r="G1" s="46"/>
      <c r="H1" s="46"/>
      <c r="I1" s="46"/>
      <c r="J1" s="46"/>
    </row>
    <row r="2" spans="1:10" ht="30" customHeight="1">
      <c r="A2" s="46"/>
      <c r="B2" s="46"/>
      <c r="C2" s="46"/>
      <c r="D2" s="46"/>
      <c r="E2" s="46"/>
      <c r="F2" s="46"/>
      <c r="G2" s="46"/>
      <c r="H2" s="46"/>
      <c r="I2" s="46"/>
      <c r="J2" s="46"/>
    </row>
    <row r="4" spans="1:10" ht="21.95" customHeight="1">
      <c r="A4" s="40" t="s">
        <v>1</v>
      </c>
      <c r="B4" s="2" t="s">
        <v>2</v>
      </c>
      <c r="D4" s="36" t="s">
        <v>3</v>
      </c>
      <c r="E4" s="37" t="str">
        <f>Checks!B3</f>
        <v>PASS</v>
      </c>
      <c r="H4" s="47" t="s">
        <v>4</v>
      </c>
      <c r="I4" s="48"/>
      <c r="J4" s="49"/>
    </row>
    <row r="5" spans="1:10" ht="15">
      <c r="A5" s="41" t="s">
        <v>5</v>
      </c>
      <c r="B5" s="3" t="s">
        <v>6</v>
      </c>
      <c r="H5" s="2" t="s">
        <v>7</v>
      </c>
      <c r="I5" s="2" t="s">
        <v>8</v>
      </c>
      <c r="J5" s="2" t="s">
        <v>9</v>
      </c>
    </row>
    <row r="6" spans="1:10" ht="15">
      <c r="A6" s="41" t="s">
        <v>7</v>
      </c>
      <c r="B6" s="3" t="s">
        <v>10</v>
      </c>
      <c r="H6" s="3" t="s">
        <v>11</v>
      </c>
      <c r="I6" s="3" t="s">
        <v>12</v>
      </c>
      <c r="J6" s="3" t="s">
        <v>13</v>
      </c>
    </row>
    <row r="7" spans="1:10" ht="15">
      <c r="A7" s="41" t="s">
        <v>14</v>
      </c>
      <c r="B7" s="3" t="s">
        <v>15</v>
      </c>
      <c r="H7" s="3" t="s">
        <v>16</v>
      </c>
      <c r="I7" s="15" t="s">
        <v>17</v>
      </c>
      <c r="J7" s="3" t="s">
        <v>18</v>
      </c>
    </row>
    <row r="8" spans="1:10" ht="15">
      <c r="A8" s="41" t="s">
        <v>19</v>
      </c>
      <c r="B8" s="3" t="s">
        <v>20</v>
      </c>
      <c r="H8" s="3" t="s">
        <v>21</v>
      </c>
      <c r="I8" s="3" t="s">
        <v>20</v>
      </c>
      <c r="J8" s="3" t="s">
        <v>22</v>
      </c>
    </row>
    <row r="9" spans="1:10" ht="15">
      <c r="A9" s="41" t="s">
        <v>23</v>
      </c>
      <c r="B9" s="3" t="s">
        <v>24</v>
      </c>
    </row>
    <row r="10" spans="1:10" ht="15">
      <c r="A10" s="41" t="s">
        <v>25</v>
      </c>
      <c r="B10" s="3" t="s">
        <v>26</v>
      </c>
    </row>
    <row r="12" spans="1:10" ht="21.95" customHeight="1">
      <c r="A12" s="47" t="s">
        <v>27</v>
      </c>
      <c r="B12" s="48"/>
      <c r="C12" s="48"/>
      <c r="D12" s="48"/>
      <c r="E12" s="48"/>
      <c r="F12" s="49"/>
    </row>
    <row r="13" spans="1:10" ht="15">
      <c r="A13" s="1" t="s">
        <v>28</v>
      </c>
      <c r="B13" s="1" t="s">
        <v>29</v>
      </c>
      <c r="C13" s="1" t="s">
        <v>30</v>
      </c>
      <c r="D13" s="1" t="s">
        <v>31</v>
      </c>
      <c r="E13" s="1" t="s">
        <v>32</v>
      </c>
      <c r="F13" s="1" t="s">
        <v>33</v>
      </c>
    </row>
    <row r="14" spans="1:10" ht="15">
      <c r="A14" s="2" t="s">
        <v>34</v>
      </c>
      <c r="B14" s="34">
        <f>FC_AMT*S0_in</f>
        <v>13500000</v>
      </c>
      <c r="C14" s="42">
        <f>B14/FC_AMT</f>
        <v>1.08</v>
      </c>
      <c r="D14" s="34">
        <f>0</f>
        <v>0</v>
      </c>
      <c r="E14" s="34">
        <f>B14-B14</f>
        <v>0</v>
      </c>
      <c r="F14" s="12" t="s">
        <v>35</v>
      </c>
    </row>
    <row r="15" spans="1:10" ht="15">
      <c r="A15" s="3" t="s">
        <v>36</v>
      </c>
      <c r="B15" s="26">
        <f>'Forward Hedge'!B10</f>
        <v>13637500</v>
      </c>
      <c r="C15" s="27">
        <f>B15/FC_AMT</f>
        <v>1.091</v>
      </c>
      <c r="D15" s="26">
        <f>0</f>
        <v>0</v>
      </c>
      <c r="E15" s="26">
        <f>B15-B14</f>
        <v>137500</v>
      </c>
      <c r="F15" s="13" t="s">
        <v>37</v>
      </c>
    </row>
    <row r="16" spans="1:10" ht="15">
      <c r="A16" s="3" t="s">
        <v>38</v>
      </c>
      <c r="B16" s="26">
        <f>'Money Market'!C9</f>
        <v>13637499.999999998</v>
      </c>
      <c r="C16" s="27">
        <f>B16/FC_AMT</f>
        <v>1.0909999999999997</v>
      </c>
      <c r="D16" s="26">
        <f>0</f>
        <v>0</v>
      </c>
      <c r="E16" s="26">
        <f>B16-B14</f>
        <v>137499.99999999814</v>
      </c>
      <c r="F16" s="13" t="s">
        <v>39</v>
      </c>
    </row>
    <row r="17" spans="1:6" ht="15">
      <c r="A17" s="3" t="s">
        <v>40</v>
      </c>
      <c r="B17" s="26">
        <f>'Option Hedge'!B12</f>
        <v>13287500</v>
      </c>
      <c r="C17" s="27">
        <f>B17/FC_AMT</f>
        <v>1.0629999999999999</v>
      </c>
      <c r="D17" s="26">
        <f>FC_AMT*PREM_PUT</f>
        <v>212500.00000000003</v>
      </c>
      <c r="E17" s="26">
        <f>B17-B14</f>
        <v>-212500</v>
      </c>
      <c r="F17" s="13" t="s">
        <v>41</v>
      </c>
    </row>
    <row r="18" spans="1:6" ht="30">
      <c r="A18" s="3" t="s">
        <v>42</v>
      </c>
      <c r="B18" s="26">
        <f>'Option Hedge'!B19</f>
        <v>13225000</v>
      </c>
      <c r="C18" s="27">
        <f>B18/FC_AMT</f>
        <v>1.0580000000000001</v>
      </c>
      <c r="D18" s="26">
        <f>FC_AMT*PREM_CALL</f>
        <v>275000</v>
      </c>
      <c r="E18" s="26">
        <f>B18-B14</f>
        <v>-275000</v>
      </c>
      <c r="F18" s="13" t="s">
        <v>43</v>
      </c>
    </row>
    <row r="20" spans="1:6">
      <c r="A20" s="50" t="s">
        <v>44</v>
      </c>
      <c r="B20" s="50"/>
      <c r="C20" s="50"/>
      <c r="D20" s="50"/>
      <c r="E20" s="50"/>
      <c r="F20" s="50"/>
    </row>
    <row r="21" spans="1:6">
      <c r="A21" s="50"/>
      <c r="B21" s="50"/>
      <c r="C21" s="50"/>
      <c r="D21" s="50"/>
      <c r="E21" s="50"/>
      <c r="F21" s="50"/>
    </row>
    <row r="22" spans="1:6">
      <c r="A22" s="50"/>
      <c r="B22" s="50"/>
      <c r="C22" s="50"/>
      <c r="D22" s="50"/>
      <c r="E22" s="50"/>
      <c r="F22" s="50"/>
    </row>
    <row r="34" spans="5:5">
      <c r="E34" s="63"/>
    </row>
  </sheetData>
  <mergeCells count="4">
    <mergeCell ref="A1:J2"/>
    <mergeCell ref="H4:J4"/>
    <mergeCell ref="A12:F12"/>
    <mergeCell ref="A20:F22"/>
  </mergeCells>
  <conditionalFormatting sqref="E4">
    <cfRule type="containsText" dxfId="5" priority="1" operator="containsText" text="PASS"/>
    <cfRule type="containsText" dxfId="4" priority="2" operator="containsText" text="FAIL"/>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workbookViewId="0"/>
  </sheetViews>
  <sheetFormatPr defaultRowHeight="14.25"/>
  <cols>
    <col min="1" max="1" width="18" customWidth="1"/>
    <col min="2" max="2" width="34" customWidth="1"/>
    <col min="3" max="4" width="18" customWidth="1"/>
    <col min="5" max="6" width="12" customWidth="1"/>
  </cols>
  <sheetData>
    <row r="1" spans="1:6" ht="30" customHeight="1">
      <c r="A1" s="46" t="s">
        <v>45</v>
      </c>
      <c r="B1" s="46"/>
      <c r="C1" s="46"/>
      <c r="D1" s="46"/>
      <c r="E1" s="46"/>
      <c r="F1" s="46"/>
    </row>
    <row r="2" spans="1:6" ht="30" customHeight="1">
      <c r="A2" s="46"/>
      <c r="B2" s="46"/>
      <c r="C2" s="46"/>
      <c r="D2" s="46"/>
      <c r="E2" s="46"/>
      <c r="F2" s="46"/>
    </row>
    <row r="4" spans="1:6" ht="21.95" customHeight="1">
      <c r="A4" s="47" t="s">
        <v>46</v>
      </c>
      <c r="B4" s="48"/>
      <c r="C4" s="48"/>
      <c r="D4" s="48"/>
      <c r="E4" s="48"/>
      <c r="F4" s="49"/>
    </row>
    <row r="5" spans="1:6" ht="15">
      <c r="A5" s="1" t="s">
        <v>47</v>
      </c>
      <c r="B5" s="1" t="s">
        <v>48</v>
      </c>
      <c r="C5" s="1" t="s">
        <v>49</v>
      </c>
    </row>
    <row r="6" spans="1:6" ht="15">
      <c r="A6" s="14" t="s">
        <v>50</v>
      </c>
      <c r="B6" s="2" t="s">
        <v>51</v>
      </c>
      <c r="C6" s="2" t="s">
        <v>52</v>
      </c>
    </row>
    <row r="7" spans="1:6" ht="15">
      <c r="A7" s="5" t="s">
        <v>53</v>
      </c>
      <c r="B7" s="3" t="s">
        <v>54</v>
      </c>
      <c r="C7" s="3" t="s">
        <v>55</v>
      </c>
    </row>
    <row r="8" spans="1:6" ht="15">
      <c r="A8" s="20" t="s">
        <v>56</v>
      </c>
      <c r="B8" s="3" t="s">
        <v>57</v>
      </c>
      <c r="C8" s="3" t="s">
        <v>58</v>
      </c>
    </row>
    <row r="9" spans="1:6" ht="15">
      <c r="A9" s="21" t="s">
        <v>59</v>
      </c>
      <c r="B9" s="3" t="s">
        <v>60</v>
      </c>
      <c r="C9" s="3" t="s">
        <v>61</v>
      </c>
    </row>
    <row r="11" spans="1:6" ht="21.95" customHeight="1">
      <c r="A11" s="47" t="s">
        <v>62</v>
      </c>
      <c r="B11" s="48"/>
      <c r="C11" s="48"/>
      <c r="D11" s="48"/>
      <c r="E11" s="48"/>
      <c r="F11" s="49"/>
    </row>
    <row r="12" spans="1:6" ht="15">
      <c r="A12" s="1" t="s">
        <v>63</v>
      </c>
      <c r="B12" s="1" t="s">
        <v>48</v>
      </c>
      <c r="C12" s="1" t="s">
        <v>64</v>
      </c>
      <c r="D12" s="1" t="s">
        <v>65</v>
      </c>
    </row>
    <row r="13" spans="1:6" ht="15">
      <c r="A13" s="2" t="s">
        <v>66</v>
      </c>
      <c r="B13" s="2" t="s">
        <v>67</v>
      </c>
      <c r="C13" s="43">
        <f>FC_AMT</f>
        <v>12500000</v>
      </c>
      <c r="D13" s="2" t="s">
        <v>68</v>
      </c>
    </row>
    <row r="14" spans="1:6" ht="15">
      <c r="A14" s="3" t="s">
        <v>69</v>
      </c>
      <c r="B14" s="3" t="s">
        <v>70</v>
      </c>
      <c r="C14" s="27">
        <f>S0_in</f>
        <v>1.08</v>
      </c>
      <c r="D14" s="3" t="s">
        <v>71</v>
      </c>
    </row>
    <row r="15" spans="1:6" ht="15">
      <c r="A15" s="3" t="s">
        <v>72</v>
      </c>
      <c r="B15" s="3" t="s">
        <v>73</v>
      </c>
      <c r="C15" s="27">
        <f>F0_in</f>
        <v>1.091</v>
      </c>
      <c r="D15" s="3" t="s">
        <v>74</v>
      </c>
    </row>
    <row r="16" spans="1:6" ht="15">
      <c r="A16" s="3" t="s">
        <v>75</v>
      </c>
      <c r="B16" s="3" t="s">
        <v>76</v>
      </c>
      <c r="C16" s="44">
        <f>R_USD</f>
        <v>4.4999999999999998E-2</v>
      </c>
      <c r="D16" s="3" t="s">
        <v>77</v>
      </c>
    </row>
    <row r="17" spans="1:4" ht="15">
      <c r="A17" s="3" t="s">
        <v>78</v>
      </c>
      <c r="B17" s="3" t="s">
        <v>79</v>
      </c>
      <c r="C17" s="44">
        <f>R_FC</f>
        <v>3.4601911027962513E-2</v>
      </c>
      <c r="D17" s="3" t="s">
        <v>80</v>
      </c>
    </row>
    <row r="18" spans="1:4" ht="15">
      <c r="A18" s="3" t="s">
        <v>81</v>
      </c>
      <c r="B18" s="3" t="s">
        <v>82</v>
      </c>
      <c r="C18" s="27">
        <f>K_PUT</f>
        <v>1.07</v>
      </c>
      <c r="D18" s="3" t="s">
        <v>83</v>
      </c>
    </row>
    <row r="19" spans="1:4" ht="15">
      <c r="A19" s="3" t="s">
        <v>84</v>
      </c>
      <c r="B19" s="3" t="s">
        <v>85</v>
      </c>
      <c r="C19" s="27">
        <f>K_CALL</f>
        <v>1.1100000000000001</v>
      </c>
      <c r="D19" s="3" t="s">
        <v>86</v>
      </c>
    </row>
    <row r="20" spans="1:4" ht="15">
      <c r="A20" s="3" t="s">
        <v>87</v>
      </c>
      <c r="B20" s="3" t="s">
        <v>88</v>
      </c>
      <c r="C20" s="27">
        <f>PREM_PUT</f>
        <v>1.7000000000000001E-2</v>
      </c>
      <c r="D20" s="3" t="s">
        <v>89</v>
      </c>
    </row>
    <row r="21" spans="1:4" ht="15">
      <c r="A21" s="3" t="s">
        <v>90</v>
      </c>
      <c r="B21" s="3" t="s">
        <v>91</v>
      </c>
      <c r="C21" s="27">
        <f>PREM_CALL</f>
        <v>2.1999999999999999E-2</v>
      </c>
      <c r="D21" s="3" t="s">
        <v>92</v>
      </c>
    </row>
    <row r="22" spans="1:4" ht="15">
      <c r="A22" s="3" t="s">
        <v>93</v>
      </c>
      <c r="B22" s="3" t="s">
        <v>94</v>
      </c>
      <c r="C22" s="45">
        <f>T_DAYS</f>
        <v>365</v>
      </c>
      <c r="D22" s="3" t="s">
        <v>95</v>
      </c>
    </row>
  </sheetData>
  <mergeCells count="3">
    <mergeCell ref="A1:F2"/>
    <mergeCell ref="A4:F4"/>
    <mergeCell ref="A11:F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showGridLines="0" workbookViewId="0">
      <selection activeCell="F27" sqref="F27"/>
    </sheetView>
  </sheetViews>
  <sheetFormatPr defaultRowHeight="14.25"/>
  <cols>
    <col min="1" max="1" width="18" customWidth="1"/>
    <col min="2" max="2" width="34" customWidth="1"/>
    <col min="3" max="3" width="21" customWidth="1"/>
    <col min="4" max="4" width="18" customWidth="1"/>
    <col min="5" max="5" width="22" customWidth="1"/>
    <col min="6" max="6" width="62" customWidth="1"/>
  </cols>
  <sheetData>
    <row r="1" spans="1:6" ht="30" customHeight="1">
      <c r="A1" s="46" t="s">
        <v>96</v>
      </c>
      <c r="B1" s="46"/>
      <c r="C1" s="46"/>
      <c r="D1" s="46"/>
      <c r="E1" s="46"/>
      <c r="F1" s="46"/>
    </row>
    <row r="2" spans="1:6" ht="30" customHeight="1">
      <c r="A2" s="46"/>
      <c r="B2" s="46"/>
      <c r="C2" s="46"/>
      <c r="D2" s="46"/>
      <c r="E2" s="46"/>
      <c r="F2" s="46"/>
    </row>
    <row r="3" spans="1:6" ht="15">
      <c r="A3" s="51" t="s">
        <v>97</v>
      </c>
      <c r="B3" s="51"/>
      <c r="C3" s="51"/>
      <c r="D3" s="51"/>
      <c r="E3" s="51"/>
      <c r="F3" s="51"/>
    </row>
    <row r="5" spans="1:6" ht="15">
      <c r="A5" s="1" t="s">
        <v>98</v>
      </c>
      <c r="B5" s="1" t="s">
        <v>99</v>
      </c>
      <c r="C5" s="1" t="s">
        <v>100</v>
      </c>
      <c r="D5" s="1" t="s">
        <v>101</v>
      </c>
      <c r="E5" s="1" t="s">
        <v>102</v>
      </c>
      <c r="F5" s="1" t="s">
        <v>103</v>
      </c>
    </row>
    <row r="6" spans="1:6" ht="15">
      <c r="A6" s="2" t="s">
        <v>66</v>
      </c>
      <c r="B6" s="2" t="s">
        <v>104</v>
      </c>
      <c r="C6" s="2" t="s">
        <v>105</v>
      </c>
      <c r="D6" s="16">
        <v>12500000</v>
      </c>
      <c r="E6" s="2" t="s">
        <v>106</v>
      </c>
      <c r="F6" s="12" t="s">
        <v>107</v>
      </c>
    </row>
    <row r="7" spans="1:6" ht="15">
      <c r="A7" s="3" t="s">
        <v>69</v>
      </c>
      <c r="B7" s="3" t="s">
        <v>108</v>
      </c>
      <c r="C7" s="3" t="s">
        <v>109</v>
      </c>
      <c r="D7" s="17">
        <v>1.08</v>
      </c>
      <c r="E7" s="3" t="s">
        <v>17</v>
      </c>
      <c r="F7" s="13" t="s">
        <v>110</v>
      </c>
    </row>
    <row r="8" spans="1:6" ht="15">
      <c r="A8" s="3" t="s">
        <v>72</v>
      </c>
      <c r="B8" s="3" t="s">
        <v>111</v>
      </c>
      <c r="C8" s="3" t="s">
        <v>109</v>
      </c>
      <c r="D8" s="17">
        <v>1.091</v>
      </c>
      <c r="E8" s="3" t="s">
        <v>112</v>
      </c>
      <c r="F8" s="13" t="s">
        <v>113</v>
      </c>
    </row>
    <row r="9" spans="1:6" ht="15">
      <c r="A9" s="3" t="s">
        <v>75</v>
      </c>
      <c r="B9" s="3" t="s">
        <v>114</v>
      </c>
      <c r="C9" s="3" t="s">
        <v>115</v>
      </c>
      <c r="D9" s="18">
        <v>4.4999999999999998E-2</v>
      </c>
      <c r="E9" s="3" t="s">
        <v>17</v>
      </c>
      <c r="F9" s="13" t="s">
        <v>116</v>
      </c>
    </row>
    <row r="10" spans="1:6" ht="15">
      <c r="A10" s="3" t="s">
        <v>78</v>
      </c>
      <c r="B10" s="3" t="s">
        <v>117</v>
      </c>
      <c r="C10" s="3" t="s">
        <v>115</v>
      </c>
      <c r="D10" s="18">
        <v>3.4601911027962513E-2</v>
      </c>
      <c r="E10" s="3" t="s">
        <v>118</v>
      </c>
      <c r="F10" s="13" t="s">
        <v>119</v>
      </c>
    </row>
    <row r="11" spans="1:6" ht="15">
      <c r="A11" s="3" t="s">
        <v>81</v>
      </c>
      <c r="B11" s="3" t="s">
        <v>120</v>
      </c>
      <c r="C11" s="3" t="s">
        <v>109</v>
      </c>
      <c r="D11" s="17">
        <v>1.07</v>
      </c>
      <c r="E11" s="3" t="s">
        <v>17</v>
      </c>
      <c r="F11" s="13" t="s">
        <v>121</v>
      </c>
    </row>
    <row r="12" spans="1:6" ht="15">
      <c r="A12" s="3" t="s">
        <v>84</v>
      </c>
      <c r="B12" s="3" t="s">
        <v>122</v>
      </c>
      <c r="C12" s="3" t="s">
        <v>109</v>
      </c>
      <c r="D12" s="17">
        <v>1.1100000000000001</v>
      </c>
      <c r="E12" s="3" t="s">
        <v>17</v>
      </c>
      <c r="F12" s="13" t="s">
        <v>123</v>
      </c>
    </row>
    <row r="13" spans="1:6" ht="15">
      <c r="A13" s="3" t="s">
        <v>87</v>
      </c>
      <c r="B13" s="3" t="s">
        <v>124</v>
      </c>
      <c r="C13" s="3" t="s">
        <v>109</v>
      </c>
      <c r="D13" s="17">
        <v>1.7000000000000001E-2</v>
      </c>
      <c r="E13" s="3" t="s">
        <v>112</v>
      </c>
      <c r="F13" s="13" t="s">
        <v>125</v>
      </c>
    </row>
    <row r="14" spans="1:6" ht="15">
      <c r="A14" s="3" t="s">
        <v>90</v>
      </c>
      <c r="B14" s="3" t="s">
        <v>126</v>
      </c>
      <c r="C14" s="3" t="s">
        <v>109</v>
      </c>
      <c r="D14" s="17">
        <v>2.1999999999999999E-2</v>
      </c>
      <c r="E14" s="3" t="s">
        <v>112</v>
      </c>
      <c r="F14" s="13" t="s">
        <v>125</v>
      </c>
    </row>
    <row r="15" spans="1:6" ht="15">
      <c r="A15" s="3" t="s">
        <v>93</v>
      </c>
      <c r="B15" s="3" t="s">
        <v>127</v>
      </c>
      <c r="C15" s="3" t="s">
        <v>128</v>
      </c>
      <c r="D15" s="19">
        <v>365</v>
      </c>
      <c r="E15" s="3" t="s">
        <v>106</v>
      </c>
      <c r="F15" s="13" t="s">
        <v>129</v>
      </c>
    </row>
  </sheetData>
  <mergeCells count="2">
    <mergeCell ref="A1:F2"/>
    <mergeCell ref="A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showGridLines="0" workbookViewId="0"/>
  </sheetViews>
  <sheetFormatPr defaultRowHeight="14.25"/>
  <cols>
    <col min="1" max="1" width="31" customWidth="1"/>
    <col min="2" max="3" width="20" customWidth="1"/>
    <col min="4" max="5" width="15" customWidth="1"/>
  </cols>
  <sheetData>
    <row r="1" spans="1:5" ht="30" customHeight="1">
      <c r="A1" s="46" t="s">
        <v>130</v>
      </c>
      <c r="B1" s="46"/>
      <c r="C1" s="46"/>
      <c r="D1" s="46"/>
      <c r="E1" s="46"/>
    </row>
    <row r="2" spans="1:5" ht="30" customHeight="1">
      <c r="A2" s="46"/>
      <c r="B2" s="46"/>
      <c r="C2" s="46"/>
      <c r="D2" s="46"/>
      <c r="E2" s="46"/>
    </row>
    <row r="4" spans="1:5" ht="21.95" customHeight="1">
      <c r="A4" s="47" t="s">
        <v>131</v>
      </c>
      <c r="B4" s="48"/>
      <c r="C4" s="48"/>
      <c r="D4" s="48"/>
      <c r="E4" s="49"/>
    </row>
    <row r="5" spans="1:5" ht="15">
      <c r="A5" s="1" t="s">
        <v>132</v>
      </c>
      <c r="B5" s="1" t="s">
        <v>133</v>
      </c>
      <c r="C5" s="1" t="s">
        <v>100</v>
      </c>
    </row>
    <row r="6" spans="1:5" ht="15">
      <c r="A6" s="2" t="s">
        <v>67</v>
      </c>
      <c r="B6" s="23">
        <f>FC_AMT</f>
        <v>12500000</v>
      </c>
      <c r="C6" s="2" t="s">
        <v>105</v>
      </c>
    </row>
    <row r="7" spans="1:5" ht="15">
      <c r="A7" s="3" t="s">
        <v>134</v>
      </c>
      <c r="B7" s="24">
        <f>F0_in</f>
        <v>1.091</v>
      </c>
      <c r="C7" s="3" t="s">
        <v>109</v>
      </c>
    </row>
    <row r="8" spans="1:5" ht="15">
      <c r="A8" s="3" t="s">
        <v>94</v>
      </c>
      <c r="B8" s="25">
        <f>T_DAYS</f>
        <v>365</v>
      </c>
      <c r="C8" s="3" t="s">
        <v>128</v>
      </c>
    </row>
    <row r="9" spans="1:5" ht="15">
      <c r="A9" s="3"/>
      <c r="B9" s="3"/>
      <c r="C9" s="3"/>
    </row>
    <row r="10" spans="1:5" ht="15">
      <c r="A10" s="3" t="s">
        <v>135</v>
      </c>
      <c r="B10" s="26">
        <f>FC_AMT*F0_in</f>
        <v>13637500</v>
      </c>
      <c r="C10" s="3" t="s">
        <v>24</v>
      </c>
    </row>
    <row r="11" spans="1:5" ht="15">
      <c r="A11" s="3" t="s">
        <v>136</v>
      </c>
      <c r="B11" s="27">
        <f>B10/FC_AMT</f>
        <v>1.091</v>
      </c>
      <c r="C11" s="3" t="s">
        <v>109</v>
      </c>
    </row>
    <row r="13" spans="1:5">
      <c r="A13" s="52" t="s">
        <v>137</v>
      </c>
      <c r="B13" s="52"/>
      <c r="C13" s="52"/>
      <c r="D13" s="52"/>
      <c r="E13" s="52"/>
    </row>
    <row r="14" spans="1:5">
      <c r="A14" s="52"/>
      <c r="B14" s="52"/>
      <c r="C14" s="52"/>
      <c r="D14" s="52"/>
      <c r="E14" s="52"/>
    </row>
    <row r="15" spans="1:5">
      <c r="A15" s="52"/>
      <c r="B15" s="52"/>
      <c r="C15" s="52"/>
      <c r="D15" s="52"/>
      <c r="E15" s="52"/>
    </row>
  </sheetData>
  <mergeCells count="3">
    <mergeCell ref="A1:E2"/>
    <mergeCell ref="A4:E4"/>
    <mergeCell ref="A13:E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
  <sheetViews>
    <sheetView showGridLines="0" workbookViewId="0"/>
  </sheetViews>
  <sheetFormatPr defaultRowHeight="14.25"/>
  <cols>
    <col min="1" max="1" width="24" customWidth="1"/>
    <col min="2" max="2" width="55" customWidth="1"/>
    <col min="3" max="3" width="20" customWidth="1"/>
    <col min="4" max="4" width="18" customWidth="1"/>
    <col min="5" max="6" width="10" customWidth="1"/>
  </cols>
  <sheetData>
    <row r="1" spans="1:6" ht="30" customHeight="1">
      <c r="A1" s="46" t="s">
        <v>138</v>
      </c>
      <c r="B1" s="46"/>
      <c r="C1" s="46"/>
      <c r="D1" s="46"/>
      <c r="E1" s="46"/>
      <c r="F1" s="46"/>
    </row>
    <row r="2" spans="1:6" ht="30" customHeight="1">
      <c r="A2" s="46"/>
      <c r="B2" s="46"/>
      <c r="C2" s="46"/>
      <c r="D2" s="46"/>
      <c r="E2" s="46"/>
      <c r="F2" s="46"/>
    </row>
    <row r="4" spans="1:6" ht="21.95" customHeight="1">
      <c r="A4" s="47" t="s">
        <v>139</v>
      </c>
      <c r="B4" s="48"/>
      <c r="C4" s="48"/>
      <c r="D4" s="48"/>
      <c r="E4" s="48"/>
      <c r="F4" s="49"/>
    </row>
    <row r="5" spans="1:6" ht="15">
      <c r="A5" s="1" t="s">
        <v>140</v>
      </c>
      <c r="B5" s="1" t="s">
        <v>141</v>
      </c>
      <c r="C5" s="1" t="s">
        <v>133</v>
      </c>
      <c r="D5" s="1" t="s">
        <v>100</v>
      </c>
    </row>
    <row r="6" spans="1:6" ht="15">
      <c r="A6" s="2" t="s">
        <v>142</v>
      </c>
      <c r="B6" s="2" t="s">
        <v>143</v>
      </c>
      <c r="C6" s="28">
        <f>T_DAYS/360</f>
        <v>1.0138888888888888</v>
      </c>
      <c r="D6" s="2" t="s">
        <v>144</v>
      </c>
    </row>
    <row r="7" spans="1:6" ht="15">
      <c r="A7" s="3" t="s">
        <v>145</v>
      </c>
      <c r="B7" s="3" t="s">
        <v>146</v>
      </c>
      <c r="C7" s="29">
        <f>FC_AMT/(1+R_FC*T_DAYS/360)</f>
        <v>12076332.160014166</v>
      </c>
      <c r="D7" s="3" t="s">
        <v>105</v>
      </c>
    </row>
    <row r="8" spans="1:6" ht="15">
      <c r="A8" s="3" t="s">
        <v>147</v>
      </c>
      <c r="B8" s="3" t="s">
        <v>148</v>
      </c>
      <c r="C8" s="30">
        <f>C7*S0_in</f>
        <v>13042438.732815299</v>
      </c>
      <c r="D8" s="3" t="s">
        <v>24</v>
      </c>
    </row>
    <row r="9" spans="1:6" ht="15">
      <c r="A9" s="3" t="s">
        <v>149</v>
      </c>
      <c r="B9" s="3" t="s">
        <v>150</v>
      </c>
      <c r="C9" s="26">
        <f>C8*(1+R_USD*T_DAYS/360)</f>
        <v>13637499.999999998</v>
      </c>
      <c r="D9" s="3" t="s">
        <v>24</v>
      </c>
    </row>
    <row r="10" spans="1:6" ht="15">
      <c r="A10" s="3"/>
      <c r="B10" s="3"/>
      <c r="C10" s="3"/>
      <c r="D10" s="3"/>
    </row>
    <row r="11" spans="1:6" ht="15">
      <c r="A11" s="3" t="s">
        <v>151</v>
      </c>
      <c r="B11" s="3" t="s">
        <v>152</v>
      </c>
      <c r="C11" s="24">
        <f>S0_in*(1+R_USD*T_DAYS/360)/(1+R_FC*T_DAYS/360)</f>
        <v>1.0909999999999997</v>
      </c>
      <c r="D11" s="3" t="s">
        <v>109</v>
      </c>
    </row>
    <row r="12" spans="1:6" ht="15">
      <c r="A12" s="3" t="s">
        <v>153</v>
      </c>
      <c r="B12" s="3" t="s">
        <v>72</v>
      </c>
      <c r="C12" s="24">
        <f>F0_in</f>
        <v>1.091</v>
      </c>
      <c r="D12" s="3" t="s">
        <v>109</v>
      </c>
    </row>
    <row r="13" spans="1:6" ht="15">
      <c r="A13" s="3" t="s">
        <v>154</v>
      </c>
      <c r="B13" s="3" t="s">
        <v>155</v>
      </c>
      <c r="C13" s="24">
        <f>C11-C12</f>
        <v>0</v>
      </c>
      <c r="D13" s="3" t="s">
        <v>109</v>
      </c>
    </row>
    <row r="14" spans="1:6" ht="15">
      <c r="A14" s="3" t="s">
        <v>136</v>
      </c>
      <c r="B14" s="3" t="s">
        <v>156</v>
      </c>
      <c r="C14" s="27">
        <f>C9/FC_AMT</f>
        <v>1.0909999999999997</v>
      </c>
      <c r="D14" s="3" t="s">
        <v>109</v>
      </c>
    </row>
    <row r="16" spans="1:6">
      <c r="A16" s="52" t="s">
        <v>157</v>
      </c>
      <c r="B16" s="52"/>
      <c r="C16" s="52"/>
      <c r="D16" s="52"/>
      <c r="E16" s="52"/>
      <c r="F16" s="52"/>
    </row>
    <row r="17" spans="1:6">
      <c r="A17" s="52"/>
      <c r="B17" s="52"/>
      <c r="C17" s="52"/>
      <c r="D17" s="52"/>
      <c r="E17" s="52"/>
      <c r="F17" s="52"/>
    </row>
    <row r="18" spans="1:6">
      <c r="A18" s="52"/>
      <c r="B18" s="52"/>
      <c r="C18" s="52"/>
      <c r="D18" s="52"/>
      <c r="E18" s="52"/>
      <c r="F18" s="52"/>
    </row>
  </sheetData>
  <mergeCells count="3">
    <mergeCell ref="A1:F2"/>
    <mergeCell ref="A4:F4"/>
    <mergeCell ref="A16:F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showGridLines="0" workbookViewId="0"/>
  </sheetViews>
  <sheetFormatPr defaultRowHeight="14.25"/>
  <cols>
    <col min="1" max="1" width="38" customWidth="1"/>
    <col min="2" max="2" width="22" customWidth="1"/>
    <col min="3" max="3" width="20" customWidth="1"/>
    <col min="4" max="6" width="12" customWidth="1"/>
  </cols>
  <sheetData>
    <row r="1" spans="1:6" ht="30" customHeight="1">
      <c r="A1" s="46" t="s">
        <v>158</v>
      </c>
      <c r="B1" s="46"/>
      <c r="C1" s="46"/>
      <c r="D1" s="46"/>
      <c r="E1" s="46"/>
      <c r="F1" s="46"/>
    </row>
    <row r="2" spans="1:6" ht="30" customHeight="1">
      <c r="A2" s="46"/>
      <c r="B2" s="46"/>
      <c r="C2" s="46"/>
      <c r="D2" s="46"/>
      <c r="E2" s="46"/>
      <c r="F2" s="46"/>
    </row>
    <row r="4" spans="1:6" ht="15">
      <c r="A4" s="2" t="s">
        <v>159</v>
      </c>
      <c r="B4" s="2"/>
    </row>
    <row r="5" spans="1:6" ht="15">
      <c r="A5" s="3" t="s">
        <v>160</v>
      </c>
      <c r="B5" s="24">
        <f>S0_in</f>
        <v>1.08</v>
      </c>
    </row>
    <row r="7" spans="1:6" ht="21.95" customHeight="1">
      <c r="A7" s="47" t="s">
        <v>161</v>
      </c>
      <c r="B7" s="48"/>
      <c r="C7" s="48"/>
      <c r="D7" s="48"/>
      <c r="E7" s="48"/>
      <c r="F7" s="49"/>
    </row>
    <row r="8" spans="1:6" ht="15">
      <c r="A8" s="1" t="s">
        <v>132</v>
      </c>
      <c r="B8" s="1" t="s">
        <v>133</v>
      </c>
      <c r="C8" s="1" t="s">
        <v>100</v>
      </c>
    </row>
    <row r="9" spans="1:6" ht="15">
      <c r="A9" s="2" t="s">
        <v>162</v>
      </c>
      <c r="B9" s="28">
        <f>MAX(B5,K_PUT)</f>
        <v>1.08</v>
      </c>
      <c r="C9" s="2" t="s">
        <v>109</v>
      </c>
    </row>
    <row r="10" spans="1:6" ht="15">
      <c r="A10" s="3" t="s">
        <v>163</v>
      </c>
      <c r="B10" s="24">
        <f>MAX(K_PUT-B5,0)</f>
        <v>0</v>
      </c>
      <c r="C10" s="3" t="s">
        <v>109</v>
      </c>
    </row>
    <row r="11" spans="1:6" ht="15">
      <c r="A11" s="3" t="s">
        <v>164</v>
      </c>
      <c r="B11" s="30">
        <f>FC_AMT*PREM_PUT</f>
        <v>212500.00000000003</v>
      </c>
      <c r="C11" s="3" t="s">
        <v>24</v>
      </c>
    </row>
    <row r="12" spans="1:6" ht="15">
      <c r="A12" s="3" t="s">
        <v>165</v>
      </c>
      <c r="B12" s="26">
        <f>FC_AMT*MAX(B5,K_PUT)-FC_AMT*PREM_PUT</f>
        <v>13287500</v>
      </c>
      <c r="C12" s="3" t="s">
        <v>24</v>
      </c>
    </row>
    <row r="13" spans="1:6" ht="15">
      <c r="A13" s="3" t="s">
        <v>136</v>
      </c>
      <c r="B13" s="27">
        <f>B12/FC_AMT</f>
        <v>1.0629999999999999</v>
      </c>
      <c r="C13" s="3" t="s">
        <v>109</v>
      </c>
    </row>
    <row r="15" spans="1:6" ht="21.95" customHeight="1">
      <c r="A15" s="47" t="s">
        <v>166</v>
      </c>
      <c r="B15" s="48"/>
      <c r="C15" s="48"/>
      <c r="D15" s="48"/>
      <c r="E15" s="48"/>
      <c r="F15" s="49"/>
    </row>
    <row r="16" spans="1:6" ht="15">
      <c r="A16" s="1" t="s">
        <v>132</v>
      </c>
      <c r="B16" s="1" t="s">
        <v>133</v>
      </c>
      <c r="C16" s="1" t="s">
        <v>100</v>
      </c>
    </row>
    <row r="17" spans="1:6" ht="15">
      <c r="A17" s="2" t="s">
        <v>167</v>
      </c>
      <c r="B17" s="28">
        <f>MAX(B5-K_CALL,0)</f>
        <v>0</v>
      </c>
      <c r="C17" s="2" t="s">
        <v>109</v>
      </c>
    </row>
    <row r="18" spans="1:6" ht="15">
      <c r="A18" s="3" t="s">
        <v>164</v>
      </c>
      <c r="B18" s="30">
        <f>FC_AMT*PREM_CALL</f>
        <v>275000</v>
      </c>
      <c r="C18" s="3" t="s">
        <v>24</v>
      </c>
    </row>
    <row r="19" spans="1:6" ht="15">
      <c r="A19" s="3" t="s">
        <v>168</v>
      </c>
      <c r="B19" s="26">
        <f>FC_AMT*B5+FC_AMT*MAX(B5-K_CALL,0)-FC_AMT*PREM_CALL</f>
        <v>13225000</v>
      </c>
      <c r="C19" s="3" t="s">
        <v>24</v>
      </c>
    </row>
    <row r="20" spans="1:6" ht="15">
      <c r="A20" s="3" t="s">
        <v>136</v>
      </c>
      <c r="B20" s="27">
        <f>B19/FC_AMT</f>
        <v>1.0580000000000001</v>
      </c>
      <c r="C20" s="3" t="s">
        <v>109</v>
      </c>
    </row>
    <row r="22" spans="1:6">
      <c r="A22" s="52" t="s">
        <v>169</v>
      </c>
      <c r="B22" s="52"/>
      <c r="C22" s="52"/>
      <c r="D22" s="52"/>
      <c r="E22" s="52"/>
      <c r="F22" s="52"/>
    </row>
    <row r="23" spans="1:6">
      <c r="A23" s="52"/>
      <c r="B23" s="52"/>
      <c r="C23" s="52"/>
      <c r="D23" s="52"/>
      <c r="E23" s="52"/>
      <c r="F23" s="52"/>
    </row>
    <row r="24" spans="1:6">
      <c r="A24" s="52"/>
      <c r="B24" s="52"/>
      <c r="C24" s="52"/>
      <c r="D24" s="52"/>
      <c r="E24" s="52"/>
      <c r="F24" s="52"/>
    </row>
  </sheetData>
  <mergeCells count="4">
    <mergeCell ref="A1:F2"/>
    <mergeCell ref="A7:F7"/>
    <mergeCell ref="A15:F15"/>
    <mergeCell ref="A22:F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6"/>
  <sheetViews>
    <sheetView showGridLines="0" workbookViewId="0">
      <selection activeCell="G42" sqref="G42"/>
    </sheetView>
  </sheetViews>
  <sheetFormatPr defaultRowHeight="14.25"/>
  <cols>
    <col min="1" max="1" width="14" customWidth="1"/>
    <col min="2" max="2" width="18" customWidth="1"/>
    <col min="3" max="7" width="19" customWidth="1"/>
    <col min="8" max="8" width="4" customWidth="1"/>
  </cols>
  <sheetData>
    <row r="1" spans="1:17" ht="30" customHeight="1">
      <c r="A1" s="46" t="s">
        <v>170</v>
      </c>
      <c r="B1" s="46"/>
      <c r="C1" s="46"/>
      <c r="D1" s="46"/>
      <c r="E1" s="46"/>
      <c r="F1" s="46"/>
      <c r="G1" s="46"/>
      <c r="H1" s="46"/>
      <c r="I1" s="46"/>
      <c r="J1" s="46"/>
      <c r="K1" s="46"/>
      <c r="L1" s="46"/>
      <c r="M1" s="46"/>
      <c r="N1" s="46"/>
      <c r="O1" s="46"/>
      <c r="P1" s="46"/>
      <c r="Q1" s="46"/>
    </row>
    <row r="2" spans="1:17" ht="30" customHeight="1">
      <c r="A2" s="46"/>
      <c r="B2" s="46"/>
      <c r="C2" s="46"/>
      <c r="D2" s="46"/>
      <c r="E2" s="46"/>
      <c r="F2" s="46"/>
      <c r="G2" s="46"/>
      <c r="H2" s="46"/>
      <c r="I2" s="46"/>
      <c r="J2" s="46"/>
      <c r="K2" s="46"/>
      <c r="L2" s="46"/>
      <c r="M2" s="46"/>
      <c r="N2" s="46"/>
      <c r="O2" s="46"/>
      <c r="P2" s="46"/>
      <c r="Q2" s="46"/>
    </row>
    <row r="3" spans="1:17" ht="15.75">
      <c r="A3" s="53" t="s">
        <v>171</v>
      </c>
      <c r="B3" s="53"/>
      <c r="C3" s="53"/>
      <c r="D3" s="53"/>
      <c r="E3" s="53"/>
      <c r="F3" s="53"/>
      <c r="G3" s="53"/>
    </row>
    <row r="5" spans="1:17" ht="15">
      <c r="A5" s="1" t="s">
        <v>172</v>
      </c>
      <c r="B5" s="1" t="s">
        <v>173</v>
      </c>
      <c r="C5" s="1" t="s">
        <v>34</v>
      </c>
      <c r="D5" s="1" t="s">
        <v>36</v>
      </c>
      <c r="E5" s="1" t="s">
        <v>38</v>
      </c>
      <c r="F5" s="1" t="s">
        <v>40</v>
      </c>
      <c r="G5" s="1" t="s">
        <v>42</v>
      </c>
      <c r="H5" s="35" t="s">
        <v>174</v>
      </c>
    </row>
    <row r="6" spans="1:17" ht="15">
      <c r="A6" s="32">
        <f>'Notes &amp; Assumptions'!B12</f>
        <v>0.95</v>
      </c>
      <c r="B6" s="28">
        <f t="shared" ref="B6:B16" si="0">A6*S0_in</f>
        <v>1.026</v>
      </c>
      <c r="C6" s="34">
        <f t="shared" ref="C6:C16" si="1">FC_AMT*B6</f>
        <v>12825000</v>
      </c>
      <c r="D6" s="34">
        <f>'Forward Hedge'!$B$10</f>
        <v>13637500</v>
      </c>
      <c r="E6" s="34">
        <f>'Money Market'!$C$9</f>
        <v>13637499.999999998</v>
      </c>
      <c r="F6" s="34">
        <f t="shared" ref="F6:F16" si="2">FC_AMT*MAX(B6,K_PUT)-FC_AMT*PREM_PUT</f>
        <v>13162500</v>
      </c>
      <c r="G6" s="34">
        <f t="shared" ref="G6:G16" si="3">FC_AMT*B6+FC_AMT*MAX(B6-K_CALL,0)-FC_AMT*PREM_CALL</f>
        <v>12550000</v>
      </c>
      <c r="H6" s="35" t="str">
        <f t="shared" ref="H6:H16" si="4">TEXT(A6,"0%")</f>
        <v>95%</v>
      </c>
    </row>
    <row r="7" spans="1:17" ht="15">
      <c r="A7" s="33">
        <f>A6+'Notes &amp; Assumptions'!B13</f>
        <v>0.96</v>
      </c>
      <c r="B7" s="24">
        <f t="shared" si="0"/>
        <v>1.0367999999999999</v>
      </c>
      <c r="C7" s="26">
        <f t="shared" si="1"/>
        <v>12960000</v>
      </c>
      <c r="D7" s="26">
        <f>'Forward Hedge'!$B$10</f>
        <v>13637500</v>
      </c>
      <c r="E7" s="26">
        <f>'Money Market'!$C$9</f>
        <v>13637499.999999998</v>
      </c>
      <c r="F7" s="26">
        <f t="shared" si="2"/>
        <v>13162500</v>
      </c>
      <c r="G7" s="26">
        <f t="shared" si="3"/>
        <v>12685000</v>
      </c>
      <c r="H7" s="35" t="str">
        <f t="shared" si="4"/>
        <v>96%</v>
      </c>
    </row>
    <row r="8" spans="1:17" ht="15">
      <c r="A8" s="33">
        <f>A7+'Notes &amp; Assumptions'!B13</f>
        <v>0.97</v>
      </c>
      <c r="B8" s="24">
        <f t="shared" si="0"/>
        <v>1.0476000000000001</v>
      </c>
      <c r="C8" s="26">
        <f t="shared" si="1"/>
        <v>13095000.000000002</v>
      </c>
      <c r="D8" s="26">
        <f>'Forward Hedge'!$B$10</f>
        <v>13637500</v>
      </c>
      <c r="E8" s="26">
        <f>'Money Market'!$C$9</f>
        <v>13637499.999999998</v>
      </c>
      <c r="F8" s="26">
        <f t="shared" si="2"/>
        <v>13162500</v>
      </c>
      <c r="G8" s="26">
        <f t="shared" si="3"/>
        <v>12820000.000000002</v>
      </c>
      <c r="H8" s="35" t="str">
        <f t="shared" si="4"/>
        <v>97%</v>
      </c>
    </row>
    <row r="9" spans="1:17" ht="15">
      <c r="A9" s="33">
        <f>A8+'Notes &amp; Assumptions'!B13</f>
        <v>0.98</v>
      </c>
      <c r="B9" s="24">
        <f t="shared" si="0"/>
        <v>1.0584</v>
      </c>
      <c r="C9" s="26">
        <f t="shared" si="1"/>
        <v>13230000</v>
      </c>
      <c r="D9" s="26">
        <f>'Forward Hedge'!$B$10</f>
        <v>13637500</v>
      </c>
      <c r="E9" s="26">
        <f>'Money Market'!$C$9</f>
        <v>13637499.999999998</v>
      </c>
      <c r="F9" s="26">
        <f t="shared" si="2"/>
        <v>13162500</v>
      </c>
      <c r="G9" s="26">
        <f t="shared" si="3"/>
        <v>12955000</v>
      </c>
      <c r="H9" s="35" t="str">
        <f t="shared" si="4"/>
        <v>98%</v>
      </c>
    </row>
    <row r="10" spans="1:17" ht="15">
      <c r="A10" s="33">
        <f>A9+'Notes &amp; Assumptions'!B13</f>
        <v>0.99</v>
      </c>
      <c r="B10" s="24">
        <f t="shared" si="0"/>
        <v>1.0692000000000002</v>
      </c>
      <c r="C10" s="26">
        <f t="shared" si="1"/>
        <v>13365000.000000002</v>
      </c>
      <c r="D10" s="26">
        <f>'Forward Hedge'!$B$10</f>
        <v>13637500</v>
      </c>
      <c r="E10" s="26">
        <f>'Money Market'!$C$9</f>
        <v>13637499.999999998</v>
      </c>
      <c r="F10" s="26">
        <f t="shared" si="2"/>
        <v>13162500</v>
      </c>
      <c r="G10" s="26">
        <f t="shared" si="3"/>
        <v>13090000.000000002</v>
      </c>
      <c r="H10" s="35" t="str">
        <f t="shared" si="4"/>
        <v>99%</v>
      </c>
    </row>
    <row r="11" spans="1:17" ht="15">
      <c r="A11" s="33">
        <f>A10+'Notes &amp; Assumptions'!B13</f>
        <v>1</v>
      </c>
      <c r="B11" s="24">
        <f t="shared" si="0"/>
        <v>1.08</v>
      </c>
      <c r="C11" s="26">
        <f t="shared" si="1"/>
        <v>13500000</v>
      </c>
      <c r="D11" s="26">
        <f>'Forward Hedge'!$B$10</f>
        <v>13637500</v>
      </c>
      <c r="E11" s="26">
        <f>'Money Market'!$C$9</f>
        <v>13637499.999999998</v>
      </c>
      <c r="F11" s="26">
        <f t="shared" si="2"/>
        <v>13287500</v>
      </c>
      <c r="G11" s="26">
        <f t="shared" si="3"/>
        <v>13225000</v>
      </c>
      <c r="H11" s="35" t="str">
        <f t="shared" si="4"/>
        <v>100%</v>
      </c>
    </row>
    <row r="12" spans="1:17" ht="15">
      <c r="A12" s="33">
        <f>A11+'Notes &amp; Assumptions'!B13</f>
        <v>1.01</v>
      </c>
      <c r="B12" s="24">
        <f t="shared" si="0"/>
        <v>1.0908</v>
      </c>
      <c r="C12" s="26">
        <f t="shared" si="1"/>
        <v>13635000</v>
      </c>
      <c r="D12" s="26">
        <f>'Forward Hedge'!$B$10</f>
        <v>13637500</v>
      </c>
      <c r="E12" s="26">
        <f>'Money Market'!$C$9</f>
        <v>13637499.999999998</v>
      </c>
      <c r="F12" s="26">
        <f t="shared" si="2"/>
        <v>13422500</v>
      </c>
      <c r="G12" s="26">
        <f t="shared" si="3"/>
        <v>13360000</v>
      </c>
      <c r="H12" s="35" t="str">
        <f t="shared" si="4"/>
        <v>101%</v>
      </c>
    </row>
    <row r="13" spans="1:17" ht="15">
      <c r="A13" s="33">
        <f>A12+'Notes &amp; Assumptions'!B13</f>
        <v>1.02</v>
      </c>
      <c r="B13" s="24">
        <f t="shared" si="0"/>
        <v>1.1016000000000001</v>
      </c>
      <c r="C13" s="26">
        <f t="shared" si="1"/>
        <v>13770000.000000002</v>
      </c>
      <c r="D13" s="26">
        <f>'Forward Hedge'!$B$10</f>
        <v>13637500</v>
      </c>
      <c r="E13" s="26">
        <f>'Money Market'!$C$9</f>
        <v>13637499.999999998</v>
      </c>
      <c r="F13" s="26">
        <f t="shared" si="2"/>
        <v>13557500.000000002</v>
      </c>
      <c r="G13" s="26">
        <f t="shared" si="3"/>
        <v>13495000.000000002</v>
      </c>
      <c r="H13" s="35" t="str">
        <f t="shared" si="4"/>
        <v>102%</v>
      </c>
    </row>
    <row r="14" spans="1:17" ht="15">
      <c r="A14" s="33">
        <f>A13+'Notes &amp; Assumptions'!B13</f>
        <v>1.03</v>
      </c>
      <c r="B14" s="24">
        <f t="shared" si="0"/>
        <v>1.1124000000000001</v>
      </c>
      <c r="C14" s="26">
        <f t="shared" si="1"/>
        <v>13905000</v>
      </c>
      <c r="D14" s="26">
        <f>'Forward Hedge'!$B$10</f>
        <v>13637500</v>
      </c>
      <c r="E14" s="26">
        <f>'Money Market'!$C$9</f>
        <v>13637499.999999998</v>
      </c>
      <c r="F14" s="26">
        <f t="shared" si="2"/>
        <v>13692500</v>
      </c>
      <c r="G14" s="26">
        <f t="shared" si="3"/>
        <v>13660000</v>
      </c>
      <c r="H14" s="35" t="str">
        <f t="shared" si="4"/>
        <v>103%</v>
      </c>
    </row>
    <row r="15" spans="1:17" ht="15">
      <c r="A15" s="33">
        <f>A14+'Notes &amp; Assumptions'!B13</f>
        <v>1.04</v>
      </c>
      <c r="B15" s="24">
        <f t="shared" si="0"/>
        <v>1.1232000000000002</v>
      </c>
      <c r="C15" s="26">
        <f t="shared" si="1"/>
        <v>14040000.000000002</v>
      </c>
      <c r="D15" s="26">
        <f>'Forward Hedge'!$B$10</f>
        <v>13637500</v>
      </c>
      <c r="E15" s="26">
        <f>'Money Market'!$C$9</f>
        <v>13637499.999999998</v>
      </c>
      <c r="F15" s="26">
        <f t="shared" si="2"/>
        <v>13827500.000000002</v>
      </c>
      <c r="G15" s="26">
        <f t="shared" si="3"/>
        <v>13930000.000000004</v>
      </c>
      <c r="H15" s="35" t="str">
        <f t="shared" si="4"/>
        <v>104%</v>
      </c>
    </row>
    <row r="16" spans="1:17" ht="15">
      <c r="A16" s="33">
        <f>A15+'Notes &amp; Assumptions'!B13</f>
        <v>1.05</v>
      </c>
      <c r="B16" s="24">
        <f t="shared" si="0"/>
        <v>1.1340000000000001</v>
      </c>
      <c r="C16" s="26">
        <f t="shared" si="1"/>
        <v>14175000.000000002</v>
      </c>
      <c r="D16" s="26">
        <f>'Forward Hedge'!$B$10</f>
        <v>13637500</v>
      </c>
      <c r="E16" s="26">
        <f>'Money Market'!$C$9</f>
        <v>13637499.999999998</v>
      </c>
      <c r="F16" s="26">
        <f t="shared" si="2"/>
        <v>13962500.000000002</v>
      </c>
      <c r="G16" s="26">
        <f t="shared" si="3"/>
        <v>14200000.000000002</v>
      </c>
      <c r="H16" s="35" t="str">
        <f t="shared" si="4"/>
        <v>105%</v>
      </c>
    </row>
  </sheetData>
  <mergeCells count="2">
    <mergeCell ref="A1:Q2"/>
    <mergeCell ref="A3:G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
  <sheetViews>
    <sheetView showGridLines="0" workbookViewId="0">
      <selection sqref="A1:G2"/>
    </sheetView>
  </sheetViews>
  <sheetFormatPr defaultRowHeight="14.25"/>
  <cols>
    <col min="1" max="1" width="31" customWidth="1"/>
    <col min="2" max="5" width="18" customWidth="1"/>
    <col min="6" max="6" width="14" customWidth="1"/>
    <col min="7" max="7" width="30" customWidth="1"/>
  </cols>
  <sheetData>
    <row r="1" spans="1:7" ht="30" customHeight="1">
      <c r="A1" s="46" t="s">
        <v>175</v>
      </c>
      <c r="B1" s="46"/>
      <c r="C1" s="46"/>
      <c r="D1" s="46"/>
      <c r="E1" s="46"/>
      <c r="F1" s="46"/>
      <c r="G1" s="46"/>
    </row>
    <row r="2" spans="1:7" ht="30" customHeight="1">
      <c r="A2" s="46"/>
      <c r="B2" s="46"/>
      <c r="C2" s="46"/>
      <c r="D2" s="46"/>
      <c r="E2" s="46"/>
      <c r="F2" s="46"/>
      <c r="G2" s="46"/>
    </row>
    <row r="3" spans="1:7" ht="18">
      <c r="A3" s="36" t="s">
        <v>3</v>
      </c>
      <c r="B3" s="37" t="str">
        <f>IF(COUNTIF(F6:F13,"FAIL")=0,"PASS","FAIL")</f>
        <v>PASS</v>
      </c>
    </row>
    <row r="5" spans="1:7" ht="15">
      <c r="A5" s="1" t="s">
        <v>176</v>
      </c>
      <c r="B5" s="1" t="s">
        <v>177</v>
      </c>
      <c r="C5" s="1" t="s">
        <v>178</v>
      </c>
      <c r="D5" s="1" t="s">
        <v>179</v>
      </c>
      <c r="E5" s="1" t="s">
        <v>180</v>
      </c>
      <c r="F5" s="1" t="s">
        <v>102</v>
      </c>
      <c r="G5" s="1" t="s">
        <v>181</v>
      </c>
    </row>
    <row r="6" spans="1:7" ht="15">
      <c r="A6" s="2" t="s">
        <v>182</v>
      </c>
      <c r="B6" s="38">
        <f>COUNT(FC_AMT,S0_in,F0_in,R_USD,R_FC,K_PUT,K_CALL,PREM_PUT,PREM_CALL,T_DAYS)</f>
        <v>10</v>
      </c>
      <c r="C6" s="38">
        <f>'Notes &amp; Assumptions'!B17</f>
        <v>10</v>
      </c>
      <c r="D6" s="38">
        <f t="shared" ref="D6:D13" si="0">B6-C6</f>
        <v>0</v>
      </c>
      <c r="E6" s="38">
        <f>'Notes &amp; Assumptions'!B18</f>
        <v>0</v>
      </c>
      <c r="F6" s="31" t="str">
        <f>IF(ABS(D6)&lt;=E6,"PASS","FAIL")</f>
        <v>PASS</v>
      </c>
      <c r="G6" s="2" t="s">
        <v>183</v>
      </c>
    </row>
    <row r="7" spans="1:7" ht="15">
      <c r="A7" s="3" t="s">
        <v>184</v>
      </c>
      <c r="B7" s="39">
        <f>MIN(FC_AMT,S0_in,F0_in,K_PUT,K_CALL,T_DAYS,PREM_PUT,PREM_CALL)</f>
        <v>1.7000000000000001E-2</v>
      </c>
      <c r="C7" s="39">
        <f>0</f>
        <v>0</v>
      </c>
      <c r="D7" s="39">
        <f t="shared" si="0"/>
        <v>1.7000000000000001E-2</v>
      </c>
      <c r="E7" s="39">
        <f>'Notes &amp; Assumptions'!B18</f>
        <v>0</v>
      </c>
      <c r="F7" s="22" t="str">
        <f>IF(AND(FC_AMT&gt;0,S0_in&gt;0,F0_in&gt;0,K_PUT&gt;0,K_CALL&gt;0,T_DAYS&gt;0,PREM_PUT&gt;=0,PREM_CALL&gt;=0),"PASS","FAIL")</f>
        <v>PASS</v>
      </c>
      <c r="G7" s="3" t="s">
        <v>183</v>
      </c>
    </row>
    <row r="8" spans="1:7" ht="15">
      <c r="A8" s="3" t="s">
        <v>185</v>
      </c>
      <c r="B8" s="30">
        <f>'Forward Hedge'!B10</f>
        <v>13637500</v>
      </c>
      <c r="C8" s="30">
        <f>FC_AMT*F0_in</f>
        <v>13637500</v>
      </c>
      <c r="D8" s="30">
        <f t="shared" si="0"/>
        <v>0</v>
      </c>
      <c r="E8" s="30">
        <f>'Notes &amp; Assumptions'!B16</f>
        <v>0.01</v>
      </c>
      <c r="F8" s="22" t="str">
        <f>IF(ABS(D8)&lt;=E8,"PASS","FAIL")</f>
        <v>PASS</v>
      </c>
      <c r="G8" s="3" t="s">
        <v>186</v>
      </c>
    </row>
    <row r="9" spans="1:7" ht="15">
      <c r="A9" s="3" t="s">
        <v>187</v>
      </c>
      <c r="B9" s="24">
        <f>'Money Market'!C11</f>
        <v>1.0909999999999997</v>
      </c>
      <c r="C9" s="24">
        <f>F0_in</f>
        <v>1.091</v>
      </c>
      <c r="D9" s="24">
        <f t="shared" si="0"/>
        <v>0</v>
      </c>
      <c r="E9" s="24">
        <f>ABS(C9)*'Notes &amp; Assumptions'!B15</f>
        <v>5.4549999999999998E-3</v>
      </c>
      <c r="F9" s="22" t="str">
        <f>IF(ABS(D9)&lt;=E9,"PASS","FAIL")</f>
        <v>PASS</v>
      </c>
      <c r="G9" s="3" t="s">
        <v>188</v>
      </c>
    </row>
    <row r="10" spans="1:7" ht="15">
      <c r="A10" s="3" t="s">
        <v>189</v>
      </c>
      <c r="B10" s="30">
        <f>'Money Market'!C9</f>
        <v>13637499.999999998</v>
      </c>
      <c r="C10" s="30">
        <f>'Forward Hedge'!B10</f>
        <v>13637500</v>
      </c>
      <c r="D10" s="30">
        <f t="shared" si="0"/>
        <v>0</v>
      </c>
      <c r="E10" s="30">
        <f>ABS(C10)*'Notes &amp; Assumptions'!B15</f>
        <v>68187.5</v>
      </c>
      <c r="F10" s="22" t="str">
        <f>IF(ABS(D10)&lt;=E10,"PASS","FAIL")</f>
        <v>PASS</v>
      </c>
      <c r="G10" s="3" t="s">
        <v>190</v>
      </c>
    </row>
    <row r="11" spans="1:7" ht="15">
      <c r="A11" s="3" t="s">
        <v>191</v>
      </c>
      <c r="B11" s="30">
        <f>MIN(Sensitivity!F6:F16)</f>
        <v>13162500</v>
      </c>
      <c r="C11" s="30">
        <f>FC_AMT*K_PUT-FC_AMT*PREM_PUT</f>
        <v>13162500</v>
      </c>
      <c r="D11" s="30">
        <f t="shared" si="0"/>
        <v>0</v>
      </c>
      <c r="E11" s="30">
        <f>'Notes &amp; Assumptions'!B16</f>
        <v>0.01</v>
      </c>
      <c r="F11" s="22" t="str">
        <f>IF(B11&gt;=C11-E11,"PASS","FAIL")</f>
        <v>PASS</v>
      </c>
      <c r="G11" s="3" t="s">
        <v>192</v>
      </c>
    </row>
    <row r="12" spans="1:7" ht="15">
      <c r="A12" s="3" t="s">
        <v>193</v>
      </c>
      <c r="B12" s="25">
        <f>COUNT(Sensitivity!B6:B16)</f>
        <v>11</v>
      </c>
      <c r="C12" s="25">
        <f>'Notes &amp; Assumptions'!B14</f>
        <v>11</v>
      </c>
      <c r="D12" s="25">
        <f t="shared" si="0"/>
        <v>0</v>
      </c>
      <c r="E12" s="25">
        <f>'Notes &amp; Assumptions'!B18</f>
        <v>0</v>
      </c>
      <c r="F12" s="22" t="str">
        <f>IF(ABS(D12)&lt;=E12,"PASS","FAIL")</f>
        <v>PASS</v>
      </c>
      <c r="G12" s="3" t="s">
        <v>194</v>
      </c>
    </row>
    <row r="13" spans="1:7" ht="15">
      <c r="A13" s="3" t="s">
        <v>195</v>
      </c>
      <c r="B13" s="39">
        <f>MAX(ABS(Sensitivity!B6-S0_in*'Notes &amp; Assumptions'!B12),ABS(Sensitivity!B16-S0_in*('Notes &amp; Assumptions'!B12+('Notes &amp; Assumptions'!B14-1)*'Notes &amp; Assumptions'!B13)))</f>
        <v>0</v>
      </c>
      <c r="C13" s="39">
        <f>0</f>
        <v>0</v>
      </c>
      <c r="D13" s="39">
        <f t="shared" si="0"/>
        <v>0</v>
      </c>
      <c r="E13" s="39">
        <f>'Notes &amp; Assumptions'!B19</f>
        <v>9.9999999999999995E-7</v>
      </c>
      <c r="F13" s="22" t="str">
        <f>IF(ABS(D13)&lt;=E13,"PASS","FAIL")</f>
        <v>PASS</v>
      </c>
      <c r="G13" s="3" t="s">
        <v>196</v>
      </c>
    </row>
  </sheetData>
  <mergeCells count="1">
    <mergeCell ref="A1:G2"/>
  </mergeCells>
  <conditionalFormatting sqref="B3">
    <cfRule type="containsText" dxfId="3" priority="1" operator="containsText" text="PASS"/>
    <cfRule type="containsText" dxfId="2" priority="2" operator="containsText" text="FAIL"/>
  </conditionalFormatting>
  <conditionalFormatting sqref="F6:F13">
    <cfRule type="containsText" dxfId="1" priority="3" operator="containsText" text="PASS"/>
    <cfRule type="containsText" dxfId="0" priority="4" operator="containsText" text="FAIL"/>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0"/>
  <sheetViews>
    <sheetView showGridLines="0" workbookViewId="0">
      <selection sqref="A1:F2"/>
    </sheetView>
  </sheetViews>
  <sheetFormatPr defaultRowHeight="14.25"/>
  <cols>
    <col min="1" max="1" width="24" customWidth="1"/>
    <col min="2" max="2" width="18" customWidth="1"/>
    <col min="3" max="3" width="65" customWidth="1"/>
    <col min="4" max="4" width="14" customWidth="1"/>
    <col min="5" max="5" width="48" customWidth="1"/>
    <col min="6" max="6" width="3" customWidth="1"/>
  </cols>
  <sheetData>
    <row r="1" spans="1:6" ht="30" customHeight="1">
      <c r="A1" s="46" t="s">
        <v>197</v>
      </c>
      <c r="B1" s="46"/>
      <c r="C1" s="46"/>
      <c r="D1" s="46"/>
      <c r="E1" s="46"/>
      <c r="F1" s="46"/>
    </row>
    <row r="2" spans="1:6" ht="30" customHeight="1">
      <c r="A2" s="46"/>
      <c r="B2" s="46"/>
      <c r="C2" s="46"/>
      <c r="D2" s="46"/>
      <c r="E2" s="46"/>
      <c r="F2" s="46"/>
    </row>
    <row r="4" spans="1:6" ht="21.95" customHeight="1">
      <c r="A4" s="47" t="s">
        <v>198</v>
      </c>
      <c r="B4" s="48"/>
      <c r="C4" s="48"/>
      <c r="D4" s="48"/>
      <c r="E4" s="48"/>
      <c r="F4" s="49"/>
    </row>
    <row r="5" spans="1:6" ht="15">
      <c r="A5" s="1" t="s">
        <v>199</v>
      </c>
      <c r="B5" s="1" t="s">
        <v>133</v>
      </c>
      <c r="C5" s="1" t="s">
        <v>200</v>
      </c>
    </row>
    <row r="6" spans="1:6" ht="15">
      <c r="A6" s="2" t="s">
        <v>201</v>
      </c>
      <c r="B6" s="4" t="s">
        <v>202</v>
      </c>
      <c r="C6" s="2" t="s">
        <v>203</v>
      </c>
    </row>
    <row r="7" spans="1:6" ht="15">
      <c r="A7" s="3" t="s">
        <v>204</v>
      </c>
      <c r="B7" s="5" t="s">
        <v>205</v>
      </c>
      <c r="C7" s="3" t="s">
        <v>206</v>
      </c>
    </row>
    <row r="8" spans="1:6" ht="15">
      <c r="A8" s="3" t="s">
        <v>207</v>
      </c>
      <c r="B8" s="5" t="s">
        <v>208</v>
      </c>
      <c r="C8" s="3" t="s">
        <v>209</v>
      </c>
    </row>
    <row r="9" spans="1:6" ht="15">
      <c r="A9" s="3" t="s">
        <v>210</v>
      </c>
      <c r="B9" s="5" t="s">
        <v>211</v>
      </c>
      <c r="C9" s="3" t="s">
        <v>212</v>
      </c>
    </row>
    <row r="10" spans="1:6" ht="15">
      <c r="A10" s="3" t="s">
        <v>213</v>
      </c>
      <c r="B10" s="5" t="s">
        <v>109</v>
      </c>
      <c r="C10" s="3" t="s">
        <v>214</v>
      </c>
    </row>
    <row r="11" spans="1:6" ht="15">
      <c r="A11" s="3" t="s">
        <v>215</v>
      </c>
      <c r="B11" s="5" t="s">
        <v>216</v>
      </c>
      <c r="C11" s="3" t="s">
        <v>217</v>
      </c>
    </row>
    <row r="12" spans="1:6" ht="15">
      <c r="A12" s="3" t="s">
        <v>218</v>
      </c>
      <c r="B12" s="6">
        <v>0.95</v>
      </c>
      <c r="C12" s="3" t="s">
        <v>219</v>
      </c>
    </row>
    <row r="13" spans="1:6" ht="15">
      <c r="A13" s="3" t="s">
        <v>220</v>
      </c>
      <c r="B13" s="6">
        <v>0.01</v>
      </c>
      <c r="C13" s="3" t="s">
        <v>221</v>
      </c>
    </row>
    <row r="14" spans="1:6" ht="15">
      <c r="A14" s="3" t="s">
        <v>222</v>
      </c>
      <c r="B14" s="7">
        <v>11</v>
      </c>
      <c r="C14" s="3" t="s">
        <v>223</v>
      </c>
    </row>
    <row r="15" spans="1:6" ht="15">
      <c r="A15" s="3" t="s">
        <v>224</v>
      </c>
      <c r="B15" s="6">
        <v>5.0000000000000001E-3</v>
      </c>
      <c r="C15" s="3" t="s">
        <v>225</v>
      </c>
    </row>
    <row r="16" spans="1:6" ht="15">
      <c r="A16" s="3" t="s">
        <v>226</v>
      </c>
      <c r="B16" s="8">
        <v>0.01</v>
      </c>
      <c r="C16" s="3" t="s">
        <v>227</v>
      </c>
    </row>
    <row r="17" spans="1:6" ht="15">
      <c r="A17" s="3" t="s">
        <v>228</v>
      </c>
      <c r="B17" s="7">
        <v>10</v>
      </c>
      <c r="C17" s="3" t="s">
        <v>229</v>
      </c>
    </row>
    <row r="18" spans="1:6" ht="15">
      <c r="A18" s="3" t="s">
        <v>230</v>
      </c>
      <c r="B18" s="7">
        <v>0</v>
      </c>
      <c r="C18" s="3" t="s">
        <v>231</v>
      </c>
    </row>
    <row r="19" spans="1:6" ht="15">
      <c r="A19" s="3" t="s">
        <v>232</v>
      </c>
      <c r="B19" s="9">
        <v>9.9999999999999995E-7</v>
      </c>
      <c r="C19" s="3" t="s">
        <v>233</v>
      </c>
    </row>
    <row r="21" spans="1:6" ht="21.95" customHeight="1">
      <c r="A21" s="47" t="s">
        <v>234</v>
      </c>
      <c r="B21" s="48"/>
      <c r="C21" s="48"/>
      <c r="D21" s="48"/>
      <c r="E21" s="48"/>
      <c r="F21" s="49"/>
    </row>
    <row r="22" spans="1:6" ht="15">
      <c r="A22" s="57" t="s">
        <v>235</v>
      </c>
      <c r="B22" s="58"/>
      <c r="C22" s="58"/>
      <c r="D22" s="58"/>
      <c r="E22" s="58"/>
      <c r="F22" s="59"/>
    </row>
    <row r="23" spans="1:6" ht="15">
      <c r="A23" s="60" t="s">
        <v>236</v>
      </c>
      <c r="B23" s="61"/>
      <c r="C23" s="61"/>
      <c r="D23" s="61"/>
      <c r="E23" s="61"/>
      <c r="F23" s="62"/>
    </row>
    <row r="24" spans="1:6" ht="15">
      <c r="A24" s="54" t="s">
        <v>237</v>
      </c>
      <c r="B24" s="55"/>
      <c r="C24" s="55"/>
      <c r="D24" s="55"/>
      <c r="E24" s="55"/>
      <c r="F24" s="56"/>
    </row>
    <row r="26" spans="1:6" ht="21.95" customHeight="1">
      <c r="A26" s="47" t="s">
        <v>238</v>
      </c>
      <c r="B26" s="48"/>
      <c r="C26" s="48"/>
      <c r="D26" s="48"/>
      <c r="E26" s="48"/>
      <c r="F26" s="49"/>
    </row>
    <row r="27" spans="1:6" ht="15">
      <c r="A27" s="1" t="s">
        <v>239</v>
      </c>
      <c r="B27" s="1" t="s">
        <v>102</v>
      </c>
      <c r="C27" s="1" t="s">
        <v>240</v>
      </c>
      <c r="D27" s="1" t="s">
        <v>241</v>
      </c>
      <c r="E27" s="1" t="s">
        <v>242</v>
      </c>
    </row>
    <row r="28" spans="1:6" ht="30">
      <c r="A28" s="2" t="s">
        <v>243</v>
      </c>
      <c r="B28" s="2" t="s">
        <v>8</v>
      </c>
      <c r="C28" s="10" t="s">
        <v>244</v>
      </c>
      <c r="D28" s="2" t="s">
        <v>20</v>
      </c>
      <c r="E28" s="12" t="s">
        <v>245</v>
      </c>
    </row>
    <row r="29" spans="1:6" ht="28.5">
      <c r="A29" s="3" t="s">
        <v>246</v>
      </c>
      <c r="B29" s="3" t="s">
        <v>12</v>
      </c>
      <c r="C29" s="11" t="s">
        <v>247</v>
      </c>
      <c r="D29" s="3" t="s">
        <v>20</v>
      </c>
      <c r="E29" s="13" t="s">
        <v>248</v>
      </c>
    </row>
    <row r="30" spans="1:6" ht="15">
      <c r="A30" s="3" t="s">
        <v>249</v>
      </c>
      <c r="B30" s="3" t="s">
        <v>216</v>
      </c>
      <c r="C30" s="11" t="s">
        <v>250</v>
      </c>
      <c r="D30" s="3" t="s">
        <v>20</v>
      </c>
      <c r="E30" s="13" t="s">
        <v>251</v>
      </c>
    </row>
  </sheetData>
  <mergeCells count="7">
    <mergeCell ref="A24:F24"/>
    <mergeCell ref="A26:F26"/>
    <mergeCell ref="A1:F2"/>
    <mergeCell ref="A4:F4"/>
    <mergeCell ref="A21:F21"/>
    <mergeCell ref="A22:F22"/>
    <mergeCell ref="A23:F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Cover</vt:lpstr>
      <vt:lpstr>Legend &amp; Key</vt:lpstr>
      <vt:lpstr>Inputs</vt:lpstr>
      <vt:lpstr>Forward Hedge</vt:lpstr>
      <vt:lpstr>Money Market</vt:lpstr>
      <vt:lpstr>Option Hedge</vt:lpstr>
      <vt:lpstr>Sensitivity</vt:lpstr>
      <vt:lpstr>Checks</vt:lpstr>
      <vt:lpstr>Notes &amp; Assumptions</vt:lpstr>
      <vt:lpstr>F0_in</vt:lpstr>
      <vt:lpstr>FC_AMT</vt:lpstr>
      <vt:lpstr>K_CALL</vt:lpstr>
      <vt:lpstr>K_PUT</vt:lpstr>
      <vt:lpstr>PREM_CALL</vt:lpstr>
      <vt:lpstr>PREM_PUT</vt:lpstr>
      <vt:lpstr>R_FC</vt:lpstr>
      <vt:lpstr>R_USD</vt:lpstr>
      <vt:lpstr>S0_in</vt:lpstr>
      <vt:lpstr>T_DAYS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Timmy Vuong</dc:creator>
  <cp:lastModifiedBy>Timmy Vuong</cp:lastModifiedBy>
  <dcterms:created xsi:type="dcterms:W3CDTF">2026-08-08T10:43:46Z</dcterms:created>
  <dcterms:modified xsi:type="dcterms:W3CDTF">2026-08-08T11:12:47Z</dcterms:modified>
</cp:coreProperties>
</file>